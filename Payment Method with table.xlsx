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000" firstSheet="5" activeTab="4"/>
  </bookViews>
  <sheets>
    <sheet name="Location Analysis" sheetId="5" r:id="rId1"/>
    <sheet name="Device Analysis" sheetId="6" r:id="rId2"/>
    <sheet name="Merchant Analysis" sheetId="8" r:id="rId3"/>
    <sheet name="Time Perod Analysis" sheetId="9" r:id="rId4"/>
    <sheet name="Payment Method " sheetId="4" r:id="rId5"/>
    <sheet name="digital_payments_fraud_analytic" sheetId="1" r:id="rId6"/>
    <sheet name="Statistical chart" sheetId="2" r:id="rId7"/>
    <sheet name="Payment Method Analysis" sheetId="3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<sst xmlns="http://schemas.openxmlformats.org/spreadsheetml/2006/main" count="9072" uniqueCount="1262">
  <si>
    <t>Location</t>
  </si>
  <si>
    <t>Sum of Fraud_Flag</t>
  </si>
  <si>
    <t>Sum of Amount</t>
  </si>
  <si>
    <t>Bengaluru</t>
  </si>
  <si>
    <t>Chennai</t>
  </si>
  <si>
    <t>Coimbatore</t>
  </si>
  <si>
    <t>Delhi</t>
  </si>
  <si>
    <t>Hyderabad</t>
  </si>
  <si>
    <t>Kochi</t>
  </si>
  <si>
    <t>Mumbai</t>
  </si>
  <si>
    <t>Pune</t>
  </si>
  <si>
    <t>(blank)</t>
  </si>
  <si>
    <t>Grand Total</t>
  </si>
  <si>
    <t>Device_Type</t>
  </si>
  <si>
    <t>Desktop</t>
  </si>
  <si>
    <t>Mobile</t>
  </si>
  <si>
    <t>Tablet</t>
  </si>
  <si>
    <t>Merchant_Category</t>
  </si>
  <si>
    <t>Electronics</t>
  </si>
  <si>
    <t>Entertainment</t>
  </si>
  <si>
    <t>Fashion</t>
  </si>
  <si>
    <t>Food</t>
  </si>
  <si>
    <t>Grocery</t>
  </si>
  <si>
    <t>Travel</t>
  </si>
  <si>
    <t>Utilities</t>
  </si>
  <si>
    <t>Time_Period</t>
  </si>
  <si>
    <t>Late Night</t>
  </si>
  <si>
    <t>Payment_Method</t>
  </si>
  <si>
    <t>Credit Card</t>
  </si>
  <si>
    <t>Debit Card</t>
  </si>
  <si>
    <t>Net Banking</t>
  </si>
  <si>
    <t>UPI</t>
  </si>
  <si>
    <t>Wallet</t>
  </si>
  <si>
    <t>Transaction_ID</t>
  </si>
  <si>
    <t>Transaction_Date</t>
  </si>
  <si>
    <t>Transaction_Time</t>
  </si>
  <si>
    <t>Customer_ID</t>
  </si>
  <si>
    <t>Amount</t>
  </si>
  <si>
    <t>Transaction_Type</t>
  </si>
  <si>
    <t>Customer_Age</t>
  </si>
  <si>
    <t>Transaction_Status</t>
  </si>
  <si>
    <t>Fraud_Flag</t>
  </si>
  <si>
    <t>Duplicate_Check</t>
  </si>
  <si>
    <t>Unknown</t>
  </si>
  <si>
    <t>Transaction_Hour</t>
  </si>
  <si>
    <t>Amount_Category</t>
  </si>
  <si>
    <t>TXN100001</t>
  </si>
  <si>
    <t>CUST1051</t>
  </si>
  <si>
    <t>Online Purchase</t>
  </si>
  <si>
    <t>Successful</t>
  </si>
  <si>
    <t>TXN100002</t>
  </si>
  <si>
    <t>CUST1106</t>
  </si>
  <si>
    <t>TXN100003</t>
  </si>
  <si>
    <t>CUST1112</t>
  </si>
  <si>
    <t>Bill Payment</t>
  </si>
  <si>
    <t>TXN100004</t>
  </si>
  <si>
    <t>CUST1197</t>
  </si>
  <si>
    <t>TXN100005</t>
  </si>
  <si>
    <t>CUST1169</t>
  </si>
  <si>
    <t>Money Transfer</t>
  </si>
  <si>
    <t>TXN100006</t>
  </si>
  <si>
    <t>CUST1072</t>
  </si>
  <si>
    <t>TXN100007</t>
  </si>
  <si>
    <t>CUST1139</t>
  </si>
  <si>
    <t>TXN100008</t>
  </si>
  <si>
    <t>CUST1080</t>
  </si>
  <si>
    <t>ATM</t>
  </si>
  <si>
    <t>TXN100009</t>
  </si>
  <si>
    <t>CUST1180</t>
  </si>
  <si>
    <t>TXN100010</t>
  </si>
  <si>
    <t>CUST1151</t>
  </si>
  <si>
    <t>Subscription</t>
  </si>
  <si>
    <t>TXN100011</t>
  </si>
  <si>
    <t>CUST1049</t>
  </si>
  <si>
    <t>TXN100012</t>
  </si>
  <si>
    <t>CUST1166</t>
  </si>
  <si>
    <t>TXN100013</t>
  </si>
  <si>
    <t>CUST1047</t>
  </si>
  <si>
    <t>TXN100014</t>
  </si>
  <si>
    <t>TXN100015</t>
  </si>
  <si>
    <t>CUST1007</t>
  </si>
  <si>
    <t>TXN100016</t>
  </si>
  <si>
    <t>CUST1066</t>
  </si>
  <si>
    <t>TXN100017</t>
  </si>
  <si>
    <t>CUST1077</t>
  </si>
  <si>
    <t>Under Review</t>
  </si>
  <si>
    <t>TXN100018</t>
  </si>
  <si>
    <t>CUST1062</t>
  </si>
  <si>
    <t>TXN100019</t>
  </si>
  <si>
    <t>CUST1157</t>
  </si>
  <si>
    <t>TXN100020</t>
  </si>
  <si>
    <t>CUST1038</t>
  </si>
  <si>
    <t>TXN100021</t>
  </si>
  <si>
    <t>CUST1125</t>
  </si>
  <si>
    <t>TXN100022</t>
  </si>
  <si>
    <t>CUST1084</t>
  </si>
  <si>
    <t>TXN100023</t>
  </si>
  <si>
    <t>CUST1161</t>
  </si>
  <si>
    <t>TXN100024</t>
  </si>
  <si>
    <t>CUST1029</t>
  </si>
  <si>
    <t>TXN100025</t>
  </si>
  <si>
    <t>CUST1114</t>
  </si>
  <si>
    <t>TXN100026</t>
  </si>
  <si>
    <t>CUST1079</t>
  </si>
  <si>
    <t>TXN100027</t>
  </si>
  <si>
    <t>CUST1023</t>
  </si>
  <si>
    <t>TXN100028</t>
  </si>
  <si>
    <t>TXN100029</t>
  </si>
  <si>
    <t>CUST1131</t>
  </si>
  <si>
    <t>TXN100030</t>
  </si>
  <si>
    <t>CUST1101</t>
  </si>
  <si>
    <t>TXN100031</t>
  </si>
  <si>
    <t>CUST1173</t>
  </si>
  <si>
    <t>TXN100032</t>
  </si>
  <si>
    <t>CUST1008</t>
  </si>
  <si>
    <t>TXN100033</t>
  </si>
  <si>
    <t>CUST1086</t>
  </si>
  <si>
    <t>TXN100034</t>
  </si>
  <si>
    <t>CUST1117</t>
  </si>
  <si>
    <t>TXN100035</t>
  </si>
  <si>
    <t>TXN100036</t>
  </si>
  <si>
    <t>CUST1002</t>
  </si>
  <si>
    <t>TXN100037</t>
  </si>
  <si>
    <t>CUST1113</t>
  </si>
  <si>
    <t>TXN100038</t>
  </si>
  <si>
    <t>CUST1178</t>
  </si>
  <si>
    <t>TXN100039</t>
  </si>
  <si>
    <t>CUST1065</t>
  </si>
  <si>
    <t>TXN100040</t>
  </si>
  <si>
    <t>CUST1108</t>
  </si>
  <si>
    <t>TXN100041</t>
  </si>
  <si>
    <t>CUST1020</t>
  </si>
  <si>
    <t>TXN100042</t>
  </si>
  <si>
    <t>TXN100043</t>
  </si>
  <si>
    <t>CUST1037</t>
  </si>
  <si>
    <t>TXN100044</t>
  </si>
  <si>
    <t>TXN100045</t>
  </si>
  <si>
    <t>CUST1027</t>
  </si>
  <si>
    <t>TXN100046</t>
  </si>
  <si>
    <t>CUST1175</t>
  </si>
  <si>
    <t>TXN100047</t>
  </si>
  <si>
    <t>CUST1123</t>
  </si>
  <si>
    <t>TXN100048</t>
  </si>
  <si>
    <t>CUST1134</t>
  </si>
  <si>
    <t>TXN100049</t>
  </si>
  <si>
    <t>CUST1188</t>
  </si>
  <si>
    <t>TXN100050</t>
  </si>
  <si>
    <t>CUST1045</t>
  </si>
  <si>
    <t>TXN100051</t>
  </si>
  <si>
    <t>CUST1172</t>
  </si>
  <si>
    <t>TXN100052</t>
  </si>
  <si>
    <t>CUST1083</t>
  </si>
  <si>
    <t>TXN100053</t>
  </si>
  <si>
    <t>CUST1146</t>
  </si>
  <si>
    <t>TXN100054</t>
  </si>
  <si>
    <t>CUST1120</t>
  </si>
  <si>
    <t>TXN100055</t>
  </si>
  <si>
    <t>TXN100056</t>
  </si>
  <si>
    <t>CUST1025</t>
  </si>
  <si>
    <t>Failed</t>
  </si>
  <si>
    <t>TXN100057</t>
  </si>
  <si>
    <t>TXN100058</t>
  </si>
  <si>
    <t>CUST1135</t>
  </si>
  <si>
    <t>TXN100059</t>
  </si>
  <si>
    <t>TXN100060</t>
  </si>
  <si>
    <t>TXN100061</t>
  </si>
  <si>
    <t>TXN100062</t>
  </si>
  <si>
    <t>CUST1044</t>
  </si>
  <si>
    <t>Blocked</t>
  </si>
  <si>
    <t>TXN100063</t>
  </si>
  <si>
    <t>CUST1107</t>
  </si>
  <si>
    <t>TXN100064</t>
  </si>
  <si>
    <t>CUST1036</t>
  </si>
  <si>
    <t>TXN100065</t>
  </si>
  <si>
    <t>CUST1147</t>
  </si>
  <si>
    <t>TXN100066</t>
  </si>
  <si>
    <t>CUST1006</t>
  </si>
  <si>
    <t>TXN100067</t>
  </si>
  <si>
    <t>CUST1153</t>
  </si>
  <si>
    <t>TXN100068</t>
  </si>
  <si>
    <t>CUST1159</t>
  </si>
  <si>
    <t>TXN100069</t>
  </si>
  <si>
    <t>CUST1009</t>
  </si>
  <si>
    <t>TXN100070</t>
  </si>
  <si>
    <t>CUST1165</t>
  </si>
  <si>
    <t>TXN100071</t>
  </si>
  <si>
    <t>CUST1155</t>
  </si>
  <si>
    <t>TXN100072</t>
  </si>
  <si>
    <t>CUST1013</t>
  </si>
  <si>
    <t>TXN100073</t>
  </si>
  <si>
    <t>CUST1041</t>
  </si>
  <si>
    <t>TXN100074</t>
  </si>
  <si>
    <t>CUST1128</t>
  </si>
  <si>
    <t>TXN100075</t>
  </si>
  <si>
    <t>TXN100076</t>
  </si>
  <si>
    <t>CUST1085</t>
  </si>
  <si>
    <t>TXN100077</t>
  </si>
  <si>
    <t>CUST1024</t>
  </si>
  <si>
    <t>TXN100078</t>
  </si>
  <si>
    <t>TXN100079</t>
  </si>
  <si>
    <t>TXN100080</t>
  </si>
  <si>
    <t>CUST1098</t>
  </si>
  <si>
    <t>TXN100081</t>
  </si>
  <si>
    <t>CUST1060</t>
  </si>
  <si>
    <t>TXN100082</t>
  </si>
  <si>
    <t>TXN100083</t>
  </si>
  <si>
    <t>CUST1130</t>
  </si>
  <si>
    <t>TXN100084</t>
  </si>
  <si>
    <t>CUST1056</t>
  </si>
  <si>
    <t>TXN100085</t>
  </si>
  <si>
    <t>CUST1158</t>
  </si>
  <si>
    <t>TXN100086</t>
  </si>
  <si>
    <t>CUST1022</t>
  </si>
  <si>
    <t>TXN100087</t>
  </si>
  <si>
    <t>CUST1081</t>
  </si>
  <si>
    <t>TXN100088</t>
  </si>
  <si>
    <t>CUST1100</t>
  </si>
  <si>
    <t>TXN100089</t>
  </si>
  <si>
    <t>TXN100090</t>
  </si>
  <si>
    <t>CUST1071</t>
  </si>
  <si>
    <t>TXN100091</t>
  </si>
  <si>
    <t>CUST1016</t>
  </si>
  <si>
    <t>TXN100092</t>
  </si>
  <si>
    <t>TXN100093</t>
  </si>
  <si>
    <t>TXN100094</t>
  </si>
  <si>
    <t>TXN100095</t>
  </si>
  <si>
    <t>CUST1070</t>
  </si>
  <si>
    <t>TXN100096</t>
  </si>
  <si>
    <t>CUST1148</t>
  </si>
  <si>
    <t>TXN100097</t>
  </si>
  <si>
    <t>CUST1099</t>
  </si>
  <si>
    <t>TXN100098</t>
  </si>
  <si>
    <t>CUST1191</t>
  </si>
  <si>
    <t>TXN100099</t>
  </si>
  <si>
    <t>TXN100100</t>
  </si>
  <si>
    <t>CUST1105</t>
  </si>
  <si>
    <t>TXN100101</t>
  </si>
  <si>
    <t>CUST1140</t>
  </si>
  <si>
    <t>TXN100102</t>
  </si>
  <si>
    <t>CUST1190</t>
  </si>
  <si>
    <t>TXN100103</t>
  </si>
  <si>
    <t>CUST1094</t>
  </si>
  <si>
    <t>TXN100104</t>
  </si>
  <si>
    <t>CUST1042</t>
  </si>
  <si>
    <t>TXN100105</t>
  </si>
  <si>
    <t>TXN100106</t>
  </si>
  <si>
    <t>TXN100107</t>
  </si>
  <si>
    <t>CUST1186</t>
  </si>
  <si>
    <t>TXN100108</t>
  </si>
  <si>
    <t>CUST1133</t>
  </si>
  <si>
    <t>TXN100109</t>
  </si>
  <si>
    <t>TXN100110</t>
  </si>
  <si>
    <t>TXN100111</t>
  </si>
  <si>
    <t>CUST1028</t>
  </si>
  <si>
    <t>TXN100112</t>
  </si>
  <si>
    <t>CUST1026</t>
  </si>
  <si>
    <t>TXN100113</t>
  </si>
  <si>
    <t>CUST1116</t>
  </si>
  <si>
    <t>TXN100114</t>
  </si>
  <si>
    <t>TXN100115</t>
  </si>
  <si>
    <t>CUST1149</t>
  </si>
  <si>
    <t>TXN100116</t>
  </si>
  <si>
    <t>CUST1001</t>
  </si>
  <si>
    <t>TXN100117</t>
  </si>
  <si>
    <t>CUST1092</t>
  </si>
  <si>
    <t>TXN100118</t>
  </si>
  <si>
    <t>CUST1058</t>
  </si>
  <si>
    <t>TXN100119</t>
  </si>
  <si>
    <t>TXN100120</t>
  </si>
  <si>
    <t>CUST1183</t>
  </si>
  <si>
    <t>TXN100121</t>
  </si>
  <si>
    <t>TXN100122</t>
  </si>
  <si>
    <t>TXN100123</t>
  </si>
  <si>
    <t>TXN100124</t>
  </si>
  <si>
    <t>TXN100125</t>
  </si>
  <si>
    <t>TXN100126</t>
  </si>
  <si>
    <t>TXN100127</t>
  </si>
  <si>
    <t>CUST1069</t>
  </si>
  <si>
    <t>TXN100128</t>
  </si>
  <si>
    <t>TXN100129</t>
  </si>
  <si>
    <t>TXN100130</t>
  </si>
  <si>
    <t>TXN100131</t>
  </si>
  <si>
    <t>CUST1054</t>
  </si>
  <si>
    <t>TXN100132</t>
  </si>
  <si>
    <t>CUST1087</t>
  </si>
  <si>
    <t>TXN100133</t>
  </si>
  <si>
    <t>CUST1011</t>
  </si>
  <si>
    <t>TXN100134</t>
  </si>
  <si>
    <t>TXN100135</t>
  </si>
  <si>
    <t>TXN100136</t>
  </si>
  <si>
    <t>TXN100137</t>
  </si>
  <si>
    <t>TXN100138</t>
  </si>
  <si>
    <t>CUST1012</t>
  </si>
  <si>
    <t>TXN100139</t>
  </si>
  <si>
    <t>CUST1194</t>
  </si>
  <si>
    <t>TXN100140</t>
  </si>
  <si>
    <t>CUST1053</t>
  </si>
  <si>
    <t>TXN100141</t>
  </si>
  <si>
    <t>TXN100142</t>
  </si>
  <si>
    <t>TXN100143</t>
  </si>
  <si>
    <t>CUST1145</t>
  </si>
  <si>
    <t>TXN100144</t>
  </si>
  <si>
    <t>TXN100145</t>
  </si>
  <si>
    <t>CUST1150</t>
  </si>
  <si>
    <t>TXN100146</t>
  </si>
  <si>
    <t>CUST1102</t>
  </si>
  <si>
    <t>TXN100147</t>
  </si>
  <si>
    <t>TXN100148</t>
  </si>
  <si>
    <t>CUST1015</t>
  </si>
  <si>
    <t>TXN100149</t>
  </si>
  <si>
    <t>TXN100150</t>
  </si>
  <si>
    <t>TXN100151</t>
  </si>
  <si>
    <t>CUST1195</t>
  </si>
  <si>
    <t>TXN100152</t>
  </si>
  <si>
    <t>CUST1030</t>
  </si>
  <si>
    <t>TXN100153</t>
  </si>
  <si>
    <t>CUST1198</t>
  </si>
  <si>
    <t>TXN100154</t>
  </si>
  <si>
    <t>TXN100155</t>
  </si>
  <si>
    <t>CUST1061</t>
  </si>
  <si>
    <t>TXN100156</t>
  </si>
  <si>
    <t>CUST1078</t>
  </si>
  <si>
    <t>TXN100157</t>
  </si>
  <si>
    <t>TXN100158</t>
  </si>
  <si>
    <t>CUST1082</t>
  </si>
  <si>
    <t>TXN100159</t>
  </si>
  <si>
    <t>TXN100160</t>
  </si>
  <si>
    <t>TXN100161</t>
  </si>
  <si>
    <t>CUST1095</t>
  </si>
  <si>
    <t>TXN100162</t>
  </si>
  <si>
    <t>TXN100163</t>
  </si>
  <si>
    <t>CUST1090</t>
  </si>
  <si>
    <t>TXN100164</t>
  </si>
  <si>
    <t>TXN100165</t>
  </si>
  <si>
    <t>TXN100166</t>
  </si>
  <si>
    <t>TXN100167</t>
  </si>
  <si>
    <t>CUST1048</t>
  </si>
  <si>
    <t>TXN100168</t>
  </si>
  <si>
    <t>TXN100169</t>
  </si>
  <si>
    <t>TXN100170</t>
  </si>
  <si>
    <t>CUST1184</t>
  </si>
  <si>
    <t>TXN100171</t>
  </si>
  <si>
    <t>CUST1040</t>
  </si>
  <si>
    <t>TXN100172</t>
  </si>
  <si>
    <t>TXN100173</t>
  </si>
  <si>
    <t>TXN100174</t>
  </si>
  <si>
    <t>CUST1200</t>
  </si>
  <si>
    <t>TXN100175</t>
  </si>
  <si>
    <t>TXN100176</t>
  </si>
  <si>
    <t>CUST1033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</si>
  <si>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</si>
  <si>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</si>
  <si>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</si>
  <si>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</si>
  <si>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</si>
  <si>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</si>
  <si>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</si>
  <si>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</si>
  <si>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CUST1177</t>
  </si>
  <si>
    <t>TXN100185</t>
  </si>
  <si>
    <t>TXN100186</t>
  </si>
  <si>
    <t>CUST1122</t>
  </si>
  <si>
    <t>TXN100187</t>
  </si>
  <si>
    <t>TXN100188</t>
  </si>
  <si>
    <t>CUST1103</t>
  </si>
  <si>
    <t>TXN100189</t>
  </si>
  <si>
    <t>TXN100190</t>
  </si>
  <si>
    <t>TXN100191</t>
  </si>
  <si>
    <t>CUST1193</t>
  </si>
  <si>
    <t>TXN100192</t>
  </si>
  <si>
    <t>CUST1160</t>
  </si>
  <si>
    <t>TXN100193</t>
  </si>
  <si>
    <t>CUST1121</t>
  </si>
  <si>
    <t>TXN100194</t>
  </si>
  <si>
    <t>TXN100195</t>
  </si>
  <si>
    <t>TXN100196</t>
  </si>
  <si>
    <t>TXN100197</t>
  </si>
  <si>
    <t>TXN100198</t>
  </si>
  <si>
    <t>CUST1141</t>
  </si>
  <si>
    <t>TXN100199</t>
  </si>
  <si>
    <t>CUST1152</t>
  </si>
  <si>
    <t>TXN100200</t>
  </si>
  <si>
    <t>TXN100201</t>
  </si>
  <si>
    <t>TXN100202</t>
  </si>
  <si>
    <t>TXN100203</t>
  </si>
  <si>
    <t>CUST1111</t>
  </si>
  <si>
    <t>TXN100204</t>
  </si>
  <si>
    <t>TXN100205</t>
  </si>
  <si>
    <t>TXN100206</t>
  </si>
  <si>
    <t>TXN100207</t>
  </si>
  <si>
    <t>CUST1050</t>
  </si>
  <si>
    <t>TXN100208</t>
  </si>
  <si>
    <t>CUST1014</t>
  </si>
  <si>
    <t>TXN100209</t>
  </si>
  <si>
    <t>TXN100210</t>
  </si>
  <si>
    <t>CUST1076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</si>
  <si>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</si>
  <si>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</si>
  <si>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</si>
  <si>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</si>
  <si>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</si>
  <si>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</si>
  <si>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</si>
  <si>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</si>
  <si>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</si>
  <si>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</si>
  <si>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CUST1057</t>
  </si>
  <si>
    <t>TXN100221</t>
  </si>
  <si>
    <t>CUST1164</t>
  </si>
  <si>
    <t>TXN100222</t>
  </si>
  <si>
    <t>CUST1064</t>
  </si>
  <si>
    <t>TXN100223</t>
  </si>
  <si>
    <t>TXN100224</t>
  </si>
  <si>
    <t>TXN100225</t>
  </si>
  <si>
    <t>CUST1088</t>
  </si>
  <si>
    <t>TXN100226</t>
  </si>
  <si>
    <t>TXN100227</t>
  </si>
  <si>
    <t>TXN100228</t>
  </si>
  <si>
    <t>TXN100229</t>
  </si>
  <si>
    <t>TXN100230</t>
  </si>
  <si>
    <t>CUST1031</t>
  </si>
  <si>
    <t>TXN100231</t>
  </si>
  <si>
    <t>TXN100232</t>
  </si>
  <si>
    <t>TXN100233</t>
  </si>
  <si>
    <t>CUST1068</t>
  </si>
  <si>
    <t>TXN100234</t>
  </si>
  <si>
    <t>TXN100235</t>
  </si>
  <si>
    <t>CUST1055</t>
  </si>
  <si>
    <t>TXN100236</t>
  </si>
  <si>
    <t>TXN100237</t>
  </si>
  <si>
    <t>CUST1168</t>
  </si>
  <si>
    <t>TXN100238</t>
  </si>
  <si>
    <t>TXN100239</t>
  </si>
  <si>
    <t>TXN100240</t>
  </si>
  <si>
    <t>TXN100241</t>
  </si>
  <si>
    <t>TXN100242</t>
  </si>
  <si>
    <t>TXN100243</t>
  </si>
  <si>
    <t>CUST1118</t>
  </si>
  <si>
    <t>TXN100244</t>
  </si>
  <si>
    <t>TXN100245</t>
  </si>
  <si>
    <t>TXN100246</t>
  </si>
  <si>
    <t>TXN100247</t>
  </si>
  <si>
    <t>TXN100248</t>
  </si>
  <si>
    <t>CUST1196</t>
  </si>
  <si>
    <t>TXN100249</t>
  </si>
  <si>
    <t>TXN100250</t>
  </si>
  <si>
    <t>TXN100251</t>
  </si>
  <si>
    <t>TXN100252</t>
  </si>
  <si>
    <t>TXN100253</t>
  </si>
  <si>
    <t>CUST1035</t>
  </si>
  <si>
    <t>TXN100254</t>
  </si>
  <si>
    <t>TXN100255</t>
  </si>
  <si>
    <t>TXN100256</t>
  </si>
  <si>
    <t>TXN100257</t>
  </si>
  <si>
    <t>TXN100258</t>
  </si>
  <si>
    <t>CUST1138</t>
  </si>
  <si>
    <t>TXN100259</t>
  </si>
  <si>
    <t>CUST1185</t>
  </si>
  <si>
    <t>TXN100260</t>
  </si>
  <si>
    <t>TXN100261</t>
  </si>
  <si>
    <t>TXN100262</t>
  </si>
  <si>
    <t>TXN100263</t>
  </si>
  <si>
    <t>CUST1144</t>
  </si>
  <si>
    <t>TXN100264</t>
  </si>
  <si>
    <t>CUST1124</t>
  </si>
  <si>
    <t>TXN100265</t>
  </si>
  <si>
    <t>TXN100266</t>
  </si>
  <si>
    <t>TXN100267</t>
  </si>
  <si>
    <t>CUST1097</t>
  </si>
  <si>
    <t>TXN100268</t>
  </si>
  <si>
    <t>TXN100269</t>
  </si>
  <si>
    <t>TXN100270</t>
  </si>
  <si>
    <t>CUST1127</t>
  </si>
  <si>
    <t>TXN100271</t>
  </si>
  <si>
    <t>TXN100272</t>
  </si>
  <si>
    <t>TXN100273</t>
  </si>
  <si>
    <t>TXN100274</t>
  </si>
  <si>
    <t>CUST1043</t>
  </si>
  <si>
    <t>TXN100275</t>
  </si>
  <si>
    <t>TXN100276</t>
  </si>
  <si>
    <t>TXN100277</t>
  </si>
  <si>
    <t>TXN100278</t>
  </si>
  <si>
    <t>TXN100279</t>
  </si>
  <si>
    <t>TXN100280</t>
  </si>
  <si>
    <t>CUST1132</t>
  </si>
  <si>
    <t>TXN100281</t>
  </si>
  <si>
    <t>CUST1154</t>
  </si>
  <si>
    <t>TXN100282</t>
  </si>
  <si>
    <t>CUST1115</t>
  </si>
  <si>
    <t>TXN100283</t>
  </si>
  <si>
    <t>TXN100284</t>
  </si>
  <si>
    <t>TXN100285</t>
  </si>
  <si>
    <t>TXN100286</t>
  </si>
  <si>
    <t>TXN100287</t>
  </si>
  <si>
    <t>CUST1010</t>
  </si>
  <si>
    <t>TXN100288</t>
  </si>
  <si>
    <t>TXN100289</t>
  </si>
  <si>
    <t>CUST1171</t>
  </si>
  <si>
    <t>TXN100290</t>
  </si>
  <si>
    <t>CUST1021</t>
  </si>
  <si>
    <t>TXN100291</t>
  </si>
  <si>
    <t>TXN100292</t>
  </si>
  <si>
    <t>CUST1163</t>
  </si>
  <si>
    <t>TXN100293</t>
  </si>
  <si>
    <t>TXN100294</t>
  </si>
  <si>
    <t>CUST1126</t>
  </si>
  <si>
    <t>TXN100295</t>
  </si>
  <si>
    <t>TXN100296</t>
  </si>
  <si>
    <t>TXN100297</t>
  </si>
  <si>
    <t>TXN100298</t>
  </si>
  <si>
    <t>TXN100299</t>
  </si>
  <si>
    <t>CUST1005</t>
  </si>
  <si>
    <t>TXN100300</t>
  </si>
  <si>
    <t>TXN100301</t>
  </si>
  <si>
    <t>TXN100302</t>
  </si>
  <si>
    <t>TXN100303</t>
  </si>
  <si>
    <t>TXN100304</t>
  </si>
  <si>
    <t>CUST1074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</si>
  <si>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</si>
  <si>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</si>
  <si>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</si>
  <si>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</si>
  <si>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</si>
  <si>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</si>
  <si>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</si>
  <si>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</si>
  <si>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CUST1187</t>
  </si>
  <si>
    <t>TXN100313</t>
  </si>
  <si>
    <t>CUST1162</t>
  </si>
  <si>
    <t>TXN100314</t>
  </si>
  <si>
    <t>CUST1075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</si>
  <si>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</si>
  <si>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</si>
  <si>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</si>
  <si>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</si>
  <si>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</si>
  <si>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</si>
  <si>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</si>
  <si>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</si>
  <si>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</si>
  <si>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</si>
  <si>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</si>
  <si>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CUST1109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</si>
  <si>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</si>
  <si>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</si>
  <si>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</si>
  <si>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</si>
  <si>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</si>
  <si>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</si>
  <si>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</si>
  <si>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</si>
  <si>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</si>
  <si>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</si>
  <si>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</si>
  <si>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CUST1091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</si>
  <si>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</si>
  <si>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</si>
  <si>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</si>
  <si>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</si>
  <si>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</si>
  <si>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</si>
  <si>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</si>
  <si>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</si>
  <si>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</si>
  <si>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</si>
  <si>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</si>
  <si>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</si>
  <si>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</si>
  <si>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CUST1004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</si>
  <si>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</si>
  <si>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</si>
  <si>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</si>
  <si>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</si>
  <si>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</si>
  <si>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</si>
  <si>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</si>
  <si>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</si>
  <si>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</si>
  <si>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</si>
  <si>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CUST1142</t>
  </si>
  <si>
    <t>TXN100360</t>
  </si>
  <si>
    <t>TXN100361</t>
  </si>
  <si>
    <t>TXN100362</t>
  </si>
  <si>
    <t>TXN100363</t>
  </si>
  <si>
    <t>CUST1167</t>
  </si>
  <si>
    <t>TXN100364</t>
  </si>
  <si>
    <t>TXN100365</t>
  </si>
  <si>
    <t>TXN100366</t>
  </si>
  <si>
    <t>TXN100367</t>
  </si>
  <si>
    <t>TXN100368</t>
  </si>
  <si>
    <t>CUST1189</t>
  </si>
  <si>
    <t>TXN100369</t>
  </si>
  <si>
    <t>TXN100370</t>
  </si>
  <si>
    <t>TXN100371</t>
  </si>
  <si>
    <t>CUST1059</t>
  </si>
  <si>
    <t>TXN100372</t>
  </si>
  <si>
    <t>CUST1096</t>
  </si>
  <si>
    <t>TXN100373</t>
  </si>
  <si>
    <t>TXN100374</t>
  </si>
  <si>
    <t>TXN100375</t>
  </si>
  <si>
    <t>TXN100376</t>
  </si>
  <si>
    <t>CUST1136</t>
  </si>
  <si>
    <t>TXN100377</t>
  </si>
  <si>
    <t>TXN100378</t>
  </si>
  <si>
    <t>TXN100379</t>
  </si>
  <si>
    <t>CUST1199</t>
  </si>
  <si>
    <t>TXN100380</t>
  </si>
  <si>
    <t>TXN100381</t>
  </si>
  <si>
    <t>TXN100382</t>
  </si>
  <si>
    <t>CUST1174</t>
  </si>
  <si>
    <t>TXN100383</t>
  </si>
  <si>
    <t>TXN100384</t>
  </si>
  <si>
    <t>TXN100385</t>
  </si>
  <si>
    <t>TXN100386</t>
  </si>
  <si>
    <t>TXN100387</t>
  </si>
  <si>
    <t>TXN100388</t>
  </si>
  <si>
    <t>TXN100389</t>
  </si>
  <si>
    <t>CUST1179</t>
  </si>
  <si>
    <t>TXN100390</t>
  </si>
  <si>
    <t>TXN100391</t>
  </si>
  <si>
    <t>TXN100392</t>
  </si>
  <si>
    <t>CUST1089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</si>
  <si>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</si>
  <si>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</si>
  <si>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</si>
  <si>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</si>
  <si>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</si>
  <si>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</si>
  <si>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</si>
  <si>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</si>
  <si>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CUST1137</t>
  </si>
  <si>
    <t>TXN100401</t>
  </si>
  <si>
    <t>TXN100402</t>
  </si>
  <si>
    <t>TXN100403</t>
  </si>
  <si>
    <t>TXN100404</t>
  </si>
  <si>
    <t>TXN100405</t>
  </si>
  <si>
    <t>CUST1073</t>
  </si>
  <si>
    <t>TXN100406</t>
  </si>
  <si>
    <t>TXN100407</t>
  </si>
  <si>
    <t>TXN100408</t>
  </si>
  <si>
    <t>TXN100409</t>
  </si>
  <si>
    <t>TXN100410</t>
  </si>
  <si>
    <t>CUST1003</t>
  </si>
  <si>
    <t>TXN100411</t>
  </si>
  <si>
    <t>TXN100412</t>
  </si>
  <si>
    <t>TXN100413</t>
  </si>
  <si>
    <t>TXN100414</t>
  </si>
  <si>
    <t>TXN100415</t>
  </si>
  <si>
    <t>TXN100416</t>
  </si>
  <si>
    <t>CUST1019</t>
  </si>
  <si>
    <t>TXN100417</t>
  </si>
  <si>
    <t>CUST1034</t>
  </si>
  <si>
    <t>TXN100418</t>
  </si>
  <si>
    <t>TXN100419</t>
  </si>
  <si>
    <t>TXN100420</t>
  </si>
  <si>
    <t>CUST1046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</si>
  <si>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</si>
  <si>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</si>
  <si>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</si>
  <si>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</si>
  <si>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</si>
  <si>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</si>
  <si>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</si>
  <si>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</si>
  <si>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</si>
  <si>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CUST1156</t>
  </si>
  <si>
    <t>TXN100430</t>
  </si>
  <si>
    <t>TXN100431</t>
  </si>
  <si>
    <t>TXN100432</t>
  </si>
  <si>
    <t>CUST1176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</si>
  <si>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</si>
  <si>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</si>
  <si>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</si>
  <si>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</si>
  <si>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</si>
  <si>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</si>
  <si>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</si>
  <si>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</si>
  <si>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</si>
  <si>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</si>
  <si>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</si>
  <si>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</si>
  <si>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</si>
  <si>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CUST1170</t>
  </si>
  <si>
    <t>TXN100446</t>
  </si>
  <si>
    <t>TXN100447</t>
  </si>
  <si>
    <t>TXN100448</t>
  </si>
  <si>
    <t>TXN100449</t>
  </si>
  <si>
    <t>CUST1018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</si>
  <si>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</si>
  <si>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</si>
  <si>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</si>
  <si>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</si>
  <si>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</si>
  <si>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</si>
  <si>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</si>
  <si>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</si>
  <si>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</si>
  <si>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</si>
  <si>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</si>
  <si>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</si>
  <si>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</si>
  <si>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</si>
  <si>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</si>
  <si>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</si>
  <si>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</si>
  <si>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</si>
  <si>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</si>
  <si>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</si>
  <si>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</si>
  <si>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</si>
  <si>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</si>
  <si>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</si>
  <si>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CUST1063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</si>
  <si>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</si>
  <si>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</si>
  <si>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</si>
  <si>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</si>
  <si>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</si>
  <si>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</si>
  <si>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</si>
  <si>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</si>
  <si>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</si>
  <si>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</si>
  <si>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</si>
  <si>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</si>
  <si>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</si>
  <si>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</si>
  <si>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</si>
  <si>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</si>
  <si>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</si>
  <si>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</si>
  <si>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</si>
  <si>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</si>
  <si>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</si>
  <si>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CUST1143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</si>
  <si>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</si>
  <si>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</si>
  <si>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</si>
  <si>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</si>
  <si>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</si>
  <si>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</si>
  <si>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</si>
  <si>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</si>
  <si>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</si>
  <si>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</si>
  <si>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</si>
  <si>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</si>
  <si>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</si>
  <si>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</si>
  <si>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</si>
  <si>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</si>
  <si>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</si>
  <si>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</si>
  <si>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CUST1104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</si>
  <si>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</si>
  <si>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</si>
  <si>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</si>
  <si>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</si>
  <si>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</si>
  <si>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</si>
  <si>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</si>
  <si>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</si>
  <si>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</si>
  <si>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</si>
  <si>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</si>
  <si>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CUST1119</t>
  </si>
  <si>
    <t>TXN100524</t>
  </si>
  <si>
    <t>TXN100525</t>
  </si>
  <si>
    <t>TXN100526</t>
  </si>
  <si>
    <t>TXN100527</t>
  </si>
  <si>
    <t>TXN100528</t>
  </si>
  <si>
    <t>TXN100529</t>
  </si>
  <si>
    <t>CUST1129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</si>
  <si>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</si>
  <si>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</si>
  <si>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</si>
  <si>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</si>
  <si>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</si>
  <si>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</si>
  <si>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</si>
  <si>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</si>
  <si>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</si>
  <si>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CUST1110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</si>
  <si>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</si>
  <si>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</si>
  <si>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</si>
  <si>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</si>
  <si>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</si>
  <si>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</si>
  <si>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</si>
  <si>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</si>
  <si>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</si>
  <si>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</si>
  <si>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</si>
  <si>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</si>
  <si>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</si>
  <si>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</si>
  <si>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</si>
  <si>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</si>
  <si>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</si>
  <si>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</si>
  <si>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</si>
  <si>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</si>
  <si>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</si>
  <si>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</si>
  <si>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</si>
  <si>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</si>
  <si>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</si>
  <si>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</si>
  <si>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</si>
  <si>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</si>
  <si>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</si>
  <si>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CUST1032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</si>
  <si>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</si>
  <si>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</si>
  <si>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</si>
  <si>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</si>
  <si>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</si>
  <si>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</si>
  <si>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</si>
  <si>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</si>
  <si>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</si>
  <si>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</si>
  <si>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</si>
  <si>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</si>
  <si>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</si>
  <si>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</si>
  <si>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</si>
  <si>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</si>
  <si>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</si>
  <si>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</si>
  <si>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</si>
  <si>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</si>
  <si>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</si>
  <si>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</si>
  <si>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CUST1052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</si>
  <si>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</si>
  <si>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</si>
  <si>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</si>
  <si>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</si>
  <si>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</si>
  <si>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</si>
  <si>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</si>
  <si>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</si>
  <si>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</si>
  <si>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</si>
  <si>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</si>
  <si>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</si>
  <si>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</si>
  <si>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</si>
  <si>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</si>
  <si>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</si>
  <si>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</si>
  <si>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</si>
  <si>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</si>
  <si>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</si>
  <si>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</si>
  <si>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</si>
  <si>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</si>
  <si>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</si>
  <si>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</si>
  <si>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</si>
  <si>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</si>
  <si>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</si>
  <si>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</si>
  <si>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</si>
  <si>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</si>
  <si>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</si>
  <si>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</si>
  <si>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</si>
  <si>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</si>
  <si>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</si>
  <si>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</si>
  <si>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</si>
  <si>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</si>
  <si>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</si>
  <si>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</si>
  <si>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</si>
  <si>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</si>
  <si>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</si>
  <si>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</si>
  <si>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</si>
  <si>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</si>
  <si>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</si>
  <si>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</si>
  <si>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</si>
  <si>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</si>
  <si>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</si>
  <si>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</si>
  <si>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</si>
  <si>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</si>
  <si>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</si>
  <si>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</si>
  <si>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</si>
  <si>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</si>
  <si>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</si>
  <si>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</si>
  <si>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</si>
  <si>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</si>
  <si>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</si>
  <si>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</si>
  <si>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</si>
  <si>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</si>
  <si>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</si>
  <si>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CUST1017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</si>
  <si>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</si>
  <si>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</si>
  <si>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</si>
  <si>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</si>
  <si>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</si>
  <si>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</si>
  <si>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</si>
  <si>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</si>
  <si>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</si>
  <si>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</si>
  <si>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</si>
  <si>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</si>
  <si>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</si>
  <si>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</si>
  <si>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</si>
  <si>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CUST1182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</si>
  <si>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</si>
  <si>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</si>
  <si>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</si>
  <si>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</si>
  <si>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</si>
  <si>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</si>
  <si>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</si>
  <si>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</si>
  <si>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</si>
  <si>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</si>
  <si>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</si>
  <si>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</si>
  <si>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</si>
  <si>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</si>
  <si>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</si>
  <si>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</si>
  <si>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</si>
  <si>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</si>
  <si>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</si>
  <si>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</si>
  <si>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</si>
  <si>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</si>
  <si>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</si>
  <si>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</si>
  <si>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</si>
  <si>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</si>
  <si>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</si>
  <si>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</si>
  <si>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</si>
  <si>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</si>
  <si>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</si>
  <si>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</si>
  <si>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</si>
  <si>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</si>
  <si>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</si>
  <si>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</si>
  <si>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</si>
  <si>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</si>
  <si>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</si>
  <si>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</si>
  <si>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</si>
  <si>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</si>
  <si>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</si>
  <si>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</si>
  <si>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</si>
  <si>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</si>
  <si>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</si>
  <si>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</si>
  <si>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</si>
  <si>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</si>
  <si>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</si>
  <si>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</si>
  <si>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</si>
  <si>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</si>
  <si>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CUST1093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</si>
  <si>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</si>
  <si>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</si>
  <si>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</si>
  <si>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</si>
  <si>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</si>
  <si>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</si>
  <si>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</si>
  <si>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</si>
  <si>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</si>
  <si>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</si>
  <si>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</si>
  <si>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</si>
  <si>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</si>
  <si>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</si>
  <si>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</si>
  <si>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</si>
  <si>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</si>
  <si>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</si>
  <si>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</si>
  <si>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</si>
  <si>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</si>
  <si>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</si>
  <si>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</si>
  <si>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</si>
  <si>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</si>
  <si>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</si>
  <si>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</si>
  <si>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</si>
  <si>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</si>
  <si>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</si>
  <si>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</si>
  <si>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</si>
  <si>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</si>
  <si>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</si>
  <si>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</si>
  <si>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</si>
  <si>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</si>
  <si>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</si>
  <si>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</si>
  <si>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</si>
  <si>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</si>
  <si>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</si>
  <si>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</si>
  <si>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</si>
  <si>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</si>
  <si>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</si>
  <si>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</si>
  <si>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</si>
  <si>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</si>
  <si>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</si>
  <si>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</si>
  <si>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</si>
  <si>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</si>
  <si>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</si>
  <si>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</si>
  <si>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</si>
  <si>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</si>
  <si>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</si>
  <si>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</si>
  <si>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</si>
  <si>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</si>
  <si>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</si>
  <si>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</si>
  <si>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</si>
  <si>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</si>
  <si>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</si>
  <si>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</si>
  <si>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</si>
  <si>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</si>
  <si>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</si>
  <si>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</si>
  <si>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</si>
  <si>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</si>
  <si>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</si>
  <si>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</si>
  <si>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</si>
  <si>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</si>
  <si>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</si>
  <si>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</si>
  <si>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</si>
  <si>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</si>
  <si>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</si>
  <si>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</si>
  <si>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</si>
  <si>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</si>
  <si>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</si>
  <si>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</si>
  <si>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</si>
  <si>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</si>
  <si>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</si>
  <si>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</si>
  <si>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</si>
  <si>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</si>
  <si>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</si>
  <si>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</si>
  <si>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</si>
  <si>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</si>
  <si>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</si>
  <si>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</si>
  <si>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</si>
  <si>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</si>
  <si>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</si>
  <si>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</si>
  <si>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</si>
  <si>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</si>
  <si>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</si>
  <si>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</si>
  <si>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</si>
  <si>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</si>
  <si>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</si>
  <si>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</si>
  <si>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</si>
  <si>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</si>
  <si>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</si>
  <si>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</si>
  <si>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</si>
  <si>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</si>
  <si>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</si>
  <si>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</si>
  <si>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</si>
  <si>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</si>
  <si>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</si>
  <si>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</si>
  <si>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</si>
  <si>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</si>
  <si>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</si>
  <si>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</si>
  <si>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</si>
  <si>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</si>
  <si>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CUST1181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</si>
  <si>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</si>
  <si>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</si>
  <si>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</si>
  <si>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</si>
  <si>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</si>
  <si>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</si>
  <si>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</si>
  <si>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</si>
  <si>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</si>
  <si>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</si>
  <si>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</si>
  <si>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CUST1192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</si>
  <si>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</si>
  <si>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</si>
  <si>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</si>
  <si>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</si>
  <si>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</si>
  <si>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</si>
  <si>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</si>
  <si>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</si>
  <si>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</si>
  <si>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</si>
  <si>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</si>
  <si>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</si>
  <si>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</si>
  <si>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</si>
  <si>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</si>
  <si>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</si>
  <si>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</si>
  <si>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</si>
  <si>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</si>
  <si>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</si>
  <si>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</si>
  <si>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</si>
  <si>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</si>
  <si>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</si>
  <si>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</si>
  <si>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</si>
  <si>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</si>
  <si>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</si>
  <si>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</si>
  <si>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</si>
  <si>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</si>
  <si>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</si>
  <si>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</si>
  <si>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</si>
  <si>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</si>
  <si>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</si>
  <si>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</si>
  <si>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</si>
  <si>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</si>
  <si>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</si>
  <si>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</si>
  <si>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</si>
  <si>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</si>
  <si>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</si>
  <si>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</si>
  <si>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</si>
  <si>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</si>
  <si>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</si>
  <si>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</si>
  <si>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</si>
  <si>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</si>
  <si>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</si>
  <si>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</si>
  <si>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</si>
  <si>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</si>
  <si>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</si>
  <si>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</si>
  <si>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</si>
  <si>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</si>
  <si>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</si>
  <si>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</si>
  <si>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</si>
  <si>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</si>
  <si>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</si>
  <si>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</si>
  <si>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</si>
  <si>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</si>
  <si>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</si>
  <si>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</si>
  <si>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</si>
  <si>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</si>
  <si>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</si>
  <si>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</si>
  <si>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</si>
  <si>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</si>
  <si>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</si>
  <si>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CUST1067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</si>
  <si>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</si>
  <si>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</si>
  <si>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</si>
  <si>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</si>
  <si>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</si>
  <si>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</si>
  <si>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</si>
  <si>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</si>
  <si>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</si>
  <si>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</si>
  <si>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</si>
  <si>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</si>
  <si>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</si>
  <si>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</si>
  <si>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</si>
  <si>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</si>
  <si>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</si>
  <si>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</si>
  <si>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</si>
  <si>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</si>
  <si>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</si>
  <si>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</si>
  <si>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</si>
  <si>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</si>
  <si>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</si>
  <si>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</si>
  <si>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</si>
  <si>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</si>
  <si>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</si>
  <si>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</si>
  <si>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</si>
  <si>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</si>
  <si>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</si>
  <si>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</si>
  <si>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</si>
  <si>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</si>
  <si>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</si>
  <si>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</si>
  <si>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</si>
  <si>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</si>
  <si>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</si>
  <si>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</si>
  <si>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</si>
  <si>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</si>
  <si>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</si>
  <si>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</si>
  <si>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</si>
  <si>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</si>
  <si>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</si>
  <si>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</si>
  <si>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</si>
  <si>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</si>
  <si>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</si>
  <si>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</si>
  <si>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</si>
  <si>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</si>
  <si>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</si>
  <si>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</si>
  <si>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Items</t>
  </si>
  <si>
    <t>Count</t>
  </si>
  <si>
    <t>Total_Transactions</t>
  </si>
  <si>
    <t>Total_Transaction_Value</t>
  </si>
  <si>
    <t>AVG_Transaction_Value</t>
  </si>
  <si>
    <t>Fraud Transactions</t>
  </si>
  <si>
    <t>Fraud Amount</t>
  </si>
  <si>
    <t>Fraud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</si>
</sst>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9" fontId="0" fillId="0" borderId="0" xfId="3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numFmt numFmtId="180" formatCode="dd/mm/yyyy"/>
    </dxf>
    <dxf>
      <numFmt numFmtId="181" formatCode="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'Statistical chart'!$B$1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'Statistical chart'!$A$2:$A$1001</c:f>
              <c:strCache>
                <c:ptCount val="1000"/>
                <c:pt idx="0">
                  <c:v>TXN100001</c:v>
                </c:pt>
                <c:pt idx="1">
                  <c:v>TXN100002</c:v>
                </c:pt>
                <c:pt idx="2">
                  <c:v>TXN100003</c:v>
                </c:pt>
                <c:pt idx="3">
                  <c:v>TXN100004</c:v>
                </c:pt>
                <c:pt idx="4">
                  <c:v>TXN100005</c:v>
                </c:pt>
                <c:pt idx="5">
                  <c:v>TXN100006</c:v>
                </c:pt>
                <c:pt idx="6">
                  <c:v>TXN100007</c:v>
                </c:pt>
                <c:pt idx="7">
                  <c:v>TXN100008</c:v>
                </c:pt>
                <c:pt idx="8">
                  <c:v>TXN100009</c:v>
                </c:pt>
                <c:pt idx="9">
                  <c:v>TXN100010</c:v>
                </c:pt>
                <c:pt idx="10">
                  <c:v>TXN100011</c:v>
                </c:pt>
                <c:pt idx="11">
                  <c:v>TXN100012</c:v>
                </c:pt>
                <c:pt idx="12">
                  <c:v>TXN100013</c:v>
                </c:pt>
                <c:pt idx="13">
                  <c:v>TXN100014</c:v>
                </c:pt>
                <c:pt idx="14">
                  <c:v>TXN100015</c:v>
                </c:pt>
                <c:pt idx="15">
                  <c:v>TXN100016</c:v>
                </c:pt>
                <c:pt idx="16">
                  <c:v>TXN100017</c:v>
                </c:pt>
                <c:pt idx="17">
                  <c:v>TXN100018</c:v>
                </c:pt>
                <c:pt idx="18">
                  <c:v>TXN100019</c:v>
                </c:pt>
                <c:pt idx="19">
                  <c:v>TXN100020</c:v>
                </c:pt>
                <c:pt idx="20">
                  <c:v>TXN100021</c:v>
                </c:pt>
                <c:pt idx="21">
                  <c:v>TXN100022</c:v>
                </c:pt>
                <c:pt idx="22">
                  <c:v>TXN100023</c:v>
                </c:pt>
                <c:pt idx="23">
                  <c:v>TXN100024</c:v>
                </c:pt>
                <c:pt idx="24">
                  <c:v>TXN100025</c:v>
                </c:pt>
                <c:pt idx="25">
                  <c:v>TXN100026</c:v>
                </c:pt>
                <c:pt idx="26">
                  <c:v>TXN100027</c:v>
                </c:pt>
                <c:pt idx="27">
                  <c:v>TXN100028</c:v>
                </c:pt>
                <c:pt idx="28">
                  <c:v>TXN100029</c:v>
                </c:pt>
                <c:pt idx="29">
                  <c:v>TXN100030</c:v>
                </c:pt>
                <c:pt idx="30">
                  <c:v>TXN100031</c:v>
                </c:pt>
                <c:pt idx="31">
                  <c:v>TXN100032</c:v>
                </c:pt>
                <c:pt idx="32">
                  <c:v>TXN100033</c:v>
                </c:pt>
                <c:pt idx="33">
                  <c:v>TXN100034</c:v>
                </c:pt>
                <c:pt idx="34">
                  <c:v>TXN100035</c:v>
                </c:pt>
                <c:pt idx="35">
                  <c:v>TXN100036</c:v>
                </c:pt>
                <c:pt idx="36">
                  <c:v>TXN100037</c:v>
                </c:pt>
                <c:pt idx="37">
                  <c:v>TXN100038</c:v>
                </c:pt>
                <c:pt idx="38">
                  <c:v>TXN100039</c:v>
                </c:pt>
                <c:pt idx="39">
                  <c:v>TXN100040</c:v>
                </c:pt>
                <c:pt idx="40">
                  <c:v>TXN100041</c:v>
                </c:pt>
                <c:pt idx="41">
                  <c:v>TXN100042</c:v>
                </c:pt>
                <c:pt idx="42">
                  <c:v>TXN100043</c:v>
                </c:pt>
                <c:pt idx="43">
                  <c:v>TXN100044</c:v>
                </c:pt>
                <c:pt idx="44">
                  <c:v>TXN100045</c:v>
                </c:pt>
                <c:pt idx="45">
                  <c:v>TXN100046</c:v>
                </c:pt>
                <c:pt idx="46">
                  <c:v>TXN100047</c:v>
                </c:pt>
                <c:pt idx="47">
                  <c:v>TXN100048</c:v>
                </c:pt>
                <c:pt idx="48">
                  <c:v>TXN100049</c:v>
                </c:pt>
                <c:pt idx="49">
                  <c:v>TXN100050</c:v>
                </c:pt>
                <c:pt idx="50">
                  <c:v>TXN100051</c:v>
                </c:pt>
                <c:pt idx="51">
                  <c:v>TXN100052</c:v>
                </c:pt>
                <c:pt idx="52">
                  <c:v>TXN100053</c:v>
                </c:pt>
                <c:pt idx="53">
                  <c:v>TXN100054</c:v>
                </c:pt>
                <c:pt idx="54">
                  <c:v>TXN100055</c:v>
                </c:pt>
                <c:pt idx="55">
                  <c:v>TXN100056</c:v>
                </c:pt>
                <c:pt idx="56">
                  <c:v>TXN100057</c:v>
                </c:pt>
                <c:pt idx="57">
                  <c:v>TXN100058</c:v>
                </c:pt>
                <c:pt idx="58">
                  <c:v>TXN100059</c:v>
                </c:pt>
                <c:pt idx="59">
                  <c:v>TXN100060</c:v>
                </c:pt>
                <c:pt idx="60">
                  <c:v>TXN100061</c:v>
                </c:pt>
                <c:pt idx="61">
                  <c:v>TXN100062</c:v>
                </c:pt>
                <c:pt idx="62">
                  <c:v>TXN100063</c:v>
                </c:pt>
                <c:pt idx="63">
                  <c:v>TXN100064</c:v>
                </c:pt>
                <c:pt idx="64">
                  <c:v>TXN100065</c:v>
                </c:pt>
                <c:pt idx="65">
                  <c:v>TXN100066</c:v>
                </c:pt>
                <c:pt idx="66">
                  <c:v>TXN100067</c:v>
                </c:pt>
                <c:pt idx="67">
                  <c:v>TXN100068</c:v>
                </c:pt>
                <c:pt idx="68">
                  <c:v>TXN100069</c:v>
                </c:pt>
                <c:pt idx="69">
                  <c:v>TXN100070</c:v>
                </c:pt>
                <c:pt idx="70">
                  <c:v>TXN100071</c:v>
                </c:pt>
                <c:pt idx="71">
                  <c:v>TXN100072</c:v>
                </c:pt>
                <c:pt idx="72">
                  <c:v>TXN100073</c:v>
                </c:pt>
                <c:pt idx="73">
                  <c:v>TXN100074</c:v>
                </c:pt>
                <c:pt idx="74">
                  <c:v>TXN100075</c:v>
                </c:pt>
                <c:pt idx="75">
                  <c:v>TXN100076</c:v>
                </c:pt>
                <c:pt idx="76">
                  <c:v>TXN100077</c:v>
                </c:pt>
                <c:pt idx="77">
                  <c:v>TXN100078</c:v>
                </c:pt>
                <c:pt idx="78">
                  <c:v>TXN100079</c:v>
                </c:pt>
                <c:pt idx="79">
                  <c:v>TXN100080</c:v>
                </c:pt>
                <c:pt idx="80">
                  <c:v>TXN100081</c:v>
                </c:pt>
                <c:pt idx="81">
                  <c:v>TXN100082</c:v>
                </c:pt>
                <c:pt idx="82">
                  <c:v>TXN100083</c:v>
                </c:pt>
                <c:pt idx="83">
                  <c:v>TXN100084</c:v>
                </c:pt>
                <c:pt idx="84">
                  <c:v>TXN100085</c:v>
                </c:pt>
                <c:pt idx="85">
                  <c:v>TXN100086</c:v>
                </c:pt>
                <c:pt idx="86">
                  <c:v>TXN100087</c:v>
                </c:pt>
                <c:pt idx="87">
                  <c:v>TXN100088</c:v>
                </c:pt>
                <c:pt idx="88">
                  <c:v>TXN100089</c:v>
                </c:pt>
                <c:pt idx="89">
                  <c:v>TXN100090</c:v>
                </c:pt>
                <c:pt idx="90">
                  <c:v>TXN100091</c:v>
                </c:pt>
                <c:pt idx="91">
                  <c:v>TXN100092</c:v>
                </c:pt>
                <c:pt idx="92">
                  <c:v>TXN100093</c:v>
                </c:pt>
                <c:pt idx="93">
                  <c:v>TXN100094</c:v>
                </c:pt>
                <c:pt idx="94">
                  <c:v>TXN100095</c:v>
                </c:pt>
                <c:pt idx="95">
                  <c:v>TXN100096</c:v>
                </c:pt>
                <c:pt idx="96">
                  <c:v>TXN100097</c:v>
                </c:pt>
                <c:pt idx="97">
                  <c:v>TXN100098</c:v>
                </c:pt>
                <c:pt idx="98">
                  <c:v>TXN100099</c:v>
                </c:pt>
                <c:pt idx="99">
                  <c:v>TXN100100</c:v>
                </c:pt>
                <c:pt idx="100">
                  <c:v>TXN100101</c:v>
                </c:pt>
                <c:pt idx="101">
                  <c:v>TXN100102</c:v>
                </c:pt>
                <c:pt idx="102">
                  <c:v>TXN100103</c:v>
                </c:pt>
                <c:pt idx="103">
                  <c:v>TXN100104</c:v>
                </c:pt>
                <c:pt idx="104">
                  <c:v>TXN100105</c:v>
                </c:pt>
                <c:pt idx="105">
                  <c:v>TXN100106</c:v>
                </c:pt>
                <c:pt idx="106">
                  <c:v>TXN100107</c:v>
                </c:pt>
                <c:pt idx="107">
                  <c:v>TXN100108</c:v>
                </c:pt>
                <c:pt idx="108">
                  <c:v>TXN100109</c:v>
                </c:pt>
                <c:pt idx="109">
                  <c:v>TXN100110</c:v>
                </c:pt>
                <c:pt idx="110">
                  <c:v>TXN100111</c:v>
                </c:pt>
                <c:pt idx="111">
                  <c:v>TXN100112</c:v>
                </c:pt>
                <c:pt idx="112">
                  <c:v>TXN100113</c:v>
                </c:pt>
                <c:pt idx="113">
                  <c:v>TXN100114</c:v>
                </c:pt>
                <c:pt idx="114">
                  <c:v>TXN100115</c:v>
                </c:pt>
                <c:pt idx="115">
                  <c:v>TXN100116</c:v>
                </c:pt>
                <c:pt idx="116">
                  <c:v>TXN100117</c:v>
                </c:pt>
                <c:pt idx="117">
                  <c:v>TXN100118</c:v>
                </c:pt>
                <c:pt idx="118">
                  <c:v>TXN100119</c:v>
                </c:pt>
                <c:pt idx="119">
                  <c:v>TXN100120</c:v>
                </c:pt>
                <c:pt idx="120">
                  <c:v>TXN100121</c:v>
                </c:pt>
                <c:pt idx="121">
                  <c:v>TXN100122</c:v>
                </c:pt>
                <c:pt idx="122">
                  <c:v>TXN100123</c:v>
                </c:pt>
                <c:pt idx="123">
                  <c:v>TXN100124</c:v>
                </c:pt>
                <c:pt idx="124">
                  <c:v>TXN100125</c:v>
                </c:pt>
                <c:pt idx="125">
                  <c:v>TXN100126</c:v>
                </c:pt>
                <c:pt idx="126">
                  <c:v>TXN100127</c:v>
                </c:pt>
                <c:pt idx="127">
                  <c:v>TXN100128</c:v>
                </c:pt>
                <c:pt idx="128">
                  <c:v>TXN100129</c:v>
                </c:pt>
                <c:pt idx="129">
                  <c:v>TXN100130</c:v>
                </c:pt>
                <c:pt idx="130">
                  <c:v>TXN100131</c:v>
                </c:pt>
                <c:pt idx="131">
                  <c:v>TXN100132</c:v>
                </c:pt>
                <c:pt idx="132">
                  <c:v>TXN100133</c:v>
                </c:pt>
                <c:pt idx="133">
                  <c:v>TXN100134</c:v>
                </c:pt>
                <c:pt idx="134">
                  <c:v>TXN100135</c:v>
                </c:pt>
                <c:pt idx="135">
                  <c:v>TXN100136</c:v>
                </c:pt>
                <c:pt idx="136">
                  <c:v>TXN100137</c:v>
                </c:pt>
                <c:pt idx="137">
                  <c:v>TXN100138</c:v>
                </c:pt>
                <c:pt idx="138">
                  <c:v>TXN100139</c:v>
                </c:pt>
                <c:pt idx="139">
                  <c:v>TXN100140</c:v>
                </c:pt>
                <c:pt idx="140">
                  <c:v>TXN100141</c:v>
                </c:pt>
                <c:pt idx="141">
                  <c:v>TXN100142</c:v>
                </c:pt>
                <c:pt idx="142">
                  <c:v>TXN100143</c:v>
                </c:pt>
                <c:pt idx="143">
                  <c:v>TXN100144</c:v>
                </c:pt>
                <c:pt idx="144">
                  <c:v>TXN100145</c:v>
                </c:pt>
                <c:pt idx="145">
                  <c:v>TXN100146</c:v>
                </c:pt>
                <c:pt idx="146">
                  <c:v>TXN100147</c:v>
                </c:pt>
                <c:pt idx="147">
                  <c:v>TXN100148</c:v>
                </c:pt>
                <c:pt idx="148">
                  <c:v>TXN100149</c:v>
                </c:pt>
                <c:pt idx="149">
                  <c:v>TXN100150</c:v>
                </c:pt>
                <c:pt idx="150">
                  <c:v>TXN100151</c:v>
                </c:pt>
                <c:pt idx="151">
                  <c:v>TXN100152</c:v>
                </c:pt>
                <c:pt idx="152">
                  <c:v>TXN100153</c:v>
                </c:pt>
                <c:pt idx="153">
                  <c:v>TXN100154</c:v>
                </c:pt>
                <c:pt idx="154">
                  <c:v>TXN100155</c:v>
                </c:pt>
                <c:pt idx="155">
                  <c:v>TXN100156</c:v>
                </c:pt>
                <c:pt idx="156">
                  <c:v>TXN100157</c:v>
                </c:pt>
                <c:pt idx="157">
                  <c:v>TXN100158</c:v>
                </c:pt>
                <c:pt idx="158">
                  <c:v>TXN100159</c:v>
                </c:pt>
                <c:pt idx="159">
                  <c:v>TXN100160</c:v>
                </c:pt>
                <c:pt idx="160">
                  <c:v>TXN100161</c:v>
                </c:pt>
                <c:pt idx="161">
                  <c:v>TXN100162</c:v>
                </c:pt>
                <c:pt idx="162">
                  <c:v>TXN100163</c:v>
                </c:pt>
                <c:pt idx="163">
                  <c:v>TXN100164</c:v>
                </c:pt>
                <c:pt idx="164">
                  <c:v>TXN100165</c:v>
                </c:pt>
                <c:pt idx="165">
                  <c:v>TXN100166</c:v>
                </c:pt>
                <c:pt idx="166">
                  <c:v>TXN100167</c:v>
                </c:pt>
                <c:pt idx="167">
                  <c:v>TXN100168</c:v>
                </c:pt>
                <c:pt idx="168">
                  <c:v>TXN100169</c:v>
                </c:pt>
                <c:pt idx="169">
                  <c:v>TXN100170</c:v>
                </c:pt>
                <c:pt idx="170">
                  <c:v>TXN100171</c:v>
                </c:pt>
                <c:pt idx="171">
                  <c:v>TXN100172</c:v>
                </c:pt>
                <c:pt idx="172">
                  <c:v>TXN100173</c:v>
                </c:pt>
                <c:pt idx="173">
                  <c:v>TXN100174</c:v>
                </c:pt>
                <c:pt idx="174">
                  <c:v>TXN100175</c:v>
                </c:pt>
                <c:pt idx="175">
                  <c:v>TXN100176</c:v>
                </c:pt>
                <c:pt idx="176">
                  <c:v>TXN100177</c:v>
                </c:pt>
                <c:pt idx="177">
                  <c:v>TXN100178</c:v>
                </c:pt>
                <c:pt idx="178">
                  <c:v>TXN100179</c:v>
                </c:pt>
                <c:pt idx="179">
                  <c:v>TXN100180</c:v>
                </c:pt>
                <c:pt idx="180">
                  <c:v>TXN100181</c:v>
                </c:pt>
                <c:pt idx="181">
                  <c:v>TXN100182</c:v>
                </c:pt>
                <c:pt idx="182">
                  <c:v>TXN100183</c:v>
                </c:pt>
                <c:pt idx="183">
                  <c:v>TXN100184</c:v>
                </c:pt>
                <c:pt idx="184">
                  <c:v>TXN100185</c:v>
                </c:pt>
                <c:pt idx="185">
                  <c:v>TXN100186</c:v>
                </c:pt>
                <c:pt idx="186">
                  <c:v>TXN100187</c:v>
                </c:pt>
                <c:pt idx="187">
                  <c:v>TXN100188</c:v>
                </c:pt>
                <c:pt idx="188">
                  <c:v>TXN100189</c:v>
                </c:pt>
                <c:pt idx="189">
                  <c:v>TXN100190</c:v>
                </c:pt>
                <c:pt idx="190">
                  <c:v>TXN100191</c:v>
                </c:pt>
                <c:pt idx="191">
                  <c:v>TXN100192</c:v>
                </c:pt>
                <c:pt idx="192">
                  <c:v>TXN100193</c:v>
                </c:pt>
                <c:pt idx="193">
                  <c:v>TXN100194</c:v>
                </c:pt>
                <c:pt idx="194">
                  <c:v>TXN100195</c:v>
                </c:pt>
                <c:pt idx="195">
                  <c:v>TXN100196</c:v>
                </c:pt>
                <c:pt idx="196">
                  <c:v>TXN100197</c:v>
                </c:pt>
                <c:pt idx="197">
                  <c:v>TXN100198</c:v>
                </c:pt>
                <c:pt idx="198">
                  <c:v>TXN100199</c:v>
                </c:pt>
                <c:pt idx="199">
                  <c:v>TXN100200</c:v>
                </c:pt>
                <c:pt idx="200">
                  <c:v>TXN100201</c:v>
                </c:pt>
                <c:pt idx="201">
                  <c:v>TXN100202</c:v>
                </c:pt>
                <c:pt idx="202">
                  <c:v>TXN100203</c:v>
                </c:pt>
                <c:pt idx="203">
                  <c:v>TXN100204</c:v>
                </c:pt>
                <c:pt idx="204">
                  <c:v>TXN100205</c:v>
                </c:pt>
                <c:pt idx="205">
                  <c:v>TXN100206</c:v>
                </c:pt>
                <c:pt idx="206">
                  <c:v>TXN100207</c:v>
                </c:pt>
                <c:pt idx="207">
                  <c:v>TXN100208</c:v>
                </c:pt>
                <c:pt idx="208">
                  <c:v>TXN100209</c:v>
                </c:pt>
                <c:pt idx="209">
                  <c:v>TXN100210</c:v>
                </c:pt>
                <c:pt idx="210">
                  <c:v>TXN100211</c:v>
                </c:pt>
                <c:pt idx="211">
                  <c:v>TXN100212</c:v>
                </c:pt>
                <c:pt idx="212">
                  <c:v>TXN100213</c:v>
                </c:pt>
                <c:pt idx="213">
                  <c:v>TXN100214</c:v>
                </c:pt>
                <c:pt idx="214">
                  <c:v>TXN100215</c:v>
                </c:pt>
                <c:pt idx="215">
                  <c:v>TXN100216</c:v>
                </c:pt>
                <c:pt idx="216">
                  <c:v>TXN100217</c:v>
                </c:pt>
                <c:pt idx="217">
                  <c:v>TXN100218</c:v>
                </c:pt>
                <c:pt idx="218">
                  <c:v>TXN100219</c:v>
                </c:pt>
                <c:pt idx="219">
                  <c:v>TXN100220</c:v>
                </c:pt>
                <c:pt idx="220">
                  <c:v>TXN100221</c:v>
                </c:pt>
                <c:pt idx="221">
                  <c:v>TXN100222</c:v>
                </c:pt>
                <c:pt idx="222">
                  <c:v>TXN100223</c:v>
                </c:pt>
                <c:pt idx="223">
                  <c:v>TXN100224</c:v>
                </c:pt>
                <c:pt idx="224">
                  <c:v>TXN100225</c:v>
                </c:pt>
                <c:pt idx="225">
                  <c:v>TXN100226</c:v>
                </c:pt>
                <c:pt idx="226">
                  <c:v>TXN100227</c:v>
                </c:pt>
                <c:pt idx="227">
                  <c:v>TXN100228</c:v>
                </c:pt>
                <c:pt idx="228">
                  <c:v>TXN100229</c:v>
                </c:pt>
                <c:pt idx="229">
                  <c:v>TXN100230</c:v>
                </c:pt>
                <c:pt idx="230">
                  <c:v>TXN100231</c:v>
                </c:pt>
                <c:pt idx="231">
                  <c:v>TXN100232</c:v>
                </c:pt>
                <c:pt idx="232">
                  <c:v>TXN100233</c:v>
                </c:pt>
                <c:pt idx="233">
                  <c:v>TXN100234</c:v>
                </c:pt>
                <c:pt idx="234">
                  <c:v>TXN100235</c:v>
                </c:pt>
                <c:pt idx="235">
                  <c:v>TXN100236</c:v>
                </c:pt>
                <c:pt idx="236">
                  <c:v>TXN100237</c:v>
                </c:pt>
                <c:pt idx="237">
                  <c:v>TXN100238</c:v>
                </c:pt>
                <c:pt idx="238">
                  <c:v>TXN100239</c:v>
                </c:pt>
                <c:pt idx="239">
                  <c:v>TXN100240</c:v>
                </c:pt>
                <c:pt idx="240">
                  <c:v>TXN100241</c:v>
                </c:pt>
                <c:pt idx="241">
                  <c:v>TXN100242</c:v>
                </c:pt>
                <c:pt idx="242">
                  <c:v>TXN100243</c:v>
                </c:pt>
                <c:pt idx="243">
                  <c:v>TXN100244</c:v>
                </c:pt>
                <c:pt idx="244">
                  <c:v>TXN100245</c:v>
                </c:pt>
                <c:pt idx="245">
                  <c:v>TXN100246</c:v>
                </c:pt>
                <c:pt idx="246">
                  <c:v>TXN100247</c:v>
                </c:pt>
                <c:pt idx="247">
                  <c:v>TXN100248</c:v>
                </c:pt>
                <c:pt idx="248">
                  <c:v>TXN100249</c:v>
                </c:pt>
                <c:pt idx="249">
                  <c:v>TXN100250</c:v>
                </c:pt>
                <c:pt idx="250">
                  <c:v>TXN100251</c:v>
                </c:pt>
                <c:pt idx="251">
                  <c:v>TXN100252</c:v>
                </c:pt>
                <c:pt idx="252">
                  <c:v>TXN100253</c:v>
                </c:pt>
                <c:pt idx="253">
                  <c:v>TXN100254</c:v>
                </c:pt>
                <c:pt idx="254">
                  <c:v>TXN100255</c:v>
                </c:pt>
                <c:pt idx="255">
                  <c:v>TXN100256</c:v>
                </c:pt>
                <c:pt idx="256">
                  <c:v>TXN100257</c:v>
                </c:pt>
                <c:pt idx="257">
                  <c:v>TXN100258</c:v>
                </c:pt>
                <c:pt idx="258">
                  <c:v>TXN100259</c:v>
                </c:pt>
                <c:pt idx="259">
                  <c:v>TXN100260</c:v>
                </c:pt>
                <c:pt idx="260">
                  <c:v>TXN100261</c:v>
                </c:pt>
                <c:pt idx="261">
                  <c:v>TXN100262</c:v>
                </c:pt>
                <c:pt idx="262">
                  <c:v>TXN100263</c:v>
                </c:pt>
                <c:pt idx="263">
                  <c:v>TXN100264</c:v>
                </c:pt>
                <c:pt idx="264">
                  <c:v>TXN100265</c:v>
                </c:pt>
                <c:pt idx="265">
                  <c:v>TXN100266</c:v>
                </c:pt>
                <c:pt idx="266">
                  <c:v>TXN100267</c:v>
                </c:pt>
                <c:pt idx="267">
                  <c:v>TXN100268</c:v>
                </c:pt>
                <c:pt idx="268">
                  <c:v>TXN100269</c:v>
                </c:pt>
                <c:pt idx="269">
                  <c:v>TXN100270</c:v>
                </c:pt>
                <c:pt idx="270">
                  <c:v>TXN100271</c:v>
                </c:pt>
                <c:pt idx="271">
                  <c:v>TXN100272</c:v>
                </c:pt>
                <c:pt idx="272">
                  <c:v>TXN100273</c:v>
                </c:pt>
                <c:pt idx="273">
                  <c:v>TXN100274</c:v>
                </c:pt>
                <c:pt idx="274">
                  <c:v>TXN100275</c:v>
                </c:pt>
                <c:pt idx="275">
                  <c:v>TXN100276</c:v>
                </c:pt>
                <c:pt idx="276">
                  <c:v>TXN100277</c:v>
                </c:pt>
                <c:pt idx="277">
                  <c:v>TXN100278</c:v>
                </c:pt>
                <c:pt idx="278">
                  <c:v>TXN100279</c:v>
                </c:pt>
                <c:pt idx="279">
                  <c:v>TXN100280</c:v>
                </c:pt>
                <c:pt idx="280">
                  <c:v>TXN100281</c:v>
                </c:pt>
                <c:pt idx="281">
                  <c:v>TXN100282</c:v>
                </c:pt>
                <c:pt idx="282">
                  <c:v>TXN100283</c:v>
                </c:pt>
                <c:pt idx="283">
                  <c:v>TXN100284</c:v>
                </c:pt>
                <c:pt idx="284">
                  <c:v>TXN100285</c:v>
                </c:pt>
                <c:pt idx="285">
                  <c:v>TXN100286</c:v>
                </c:pt>
                <c:pt idx="286">
                  <c:v>TXN100287</c:v>
                </c:pt>
                <c:pt idx="287">
                  <c:v>TXN100288</c:v>
                </c:pt>
                <c:pt idx="288">
                  <c:v>TXN100289</c:v>
                </c:pt>
                <c:pt idx="289">
                  <c:v>TXN100290</c:v>
                </c:pt>
                <c:pt idx="290">
                  <c:v>TXN100291</c:v>
                </c:pt>
                <c:pt idx="291">
                  <c:v>TXN100292</c:v>
                </c:pt>
                <c:pt idx="292">
                  <c:v>TXN100293</c:v>
                </c:pt>
                <c:pt idx="293">
                  <c:v>TXN100294</c:v>
                </c:pt>
                <c:pt idx="294">
                  <c:v>TXN100295</c:v>
                </c:pt>
                <c:pt idx="295">
                  <c:v>TXN100296</c:v>
                </c:pt>
                <c:pt idx="296">
                  <c:v>TXN100297</c:v>
                </c:pt>
                <c:pt idx="297">
                  <c:v>TXN100298</c:v>
                </c:pt>
                <c:pt idx="298">
                  <c:v>TXN100299</c:v>
                </c:pt>
                <c:pt idx="299">
                  <c:v>TXN100300</c:v>
                </c:pt>
                <c:pt idx="300">
                  <c:v>TXN100301</c:v>
                </c:pt>
                <c:pt idx="301">
                  <c:v>TXN100302</c:v>
                </c:pt>
                <c:pt idx="302">
                  <c:v>TXN100303</c:v>
                </c:pt>
                <c:pt idx="303">
                  <c:v>TXN100304</c:v>
                </c:pt>
                <c:pt idx="304">
                  <c:v>TXN100305</c:v>
                </c:pt>
                <c:pt idx="305">
                  <c:v>TXN100306</c:v>
                </c:pt>
                <c:pt idx="306">
                  <c:v>TXN100307</c:v>
                </c:pt>
                <c:pt idx="307">
                  <c:v>TXN100308</c:v>
                </c:pt>
                <c:pt idx="308">
                  <c:v>TXN100309</c:v>
                </c:pt>
                <c:pt idx="309">
                  <c:v>TXN100310</c:v>
                </c:pt>
                <c:pt idx="310">
                  <c:v>TXN100311</c:v>
                </c:pt>
                <c:pt idx="311">
                  <c:v>TXN100312</c:v>
                </c:pt>
                <c:pt idx="312">
                  <c:v>TXN100313</c:v>
                </c:pt>
                <c:pt idx="313">
                  <c:v>TXN100314</c:v>
                </c:pt>
                <c:pt idx="314">
                  <c:v>TXN100315</c:v>
                </c:pt>
                <c:pt idx="315">
                  <c:v>TXN100316</c:v>
                </c:pt>
                <c:pt idx="316">
                  <c:v>TXN100317</c:v>
                </c:pt>
                <c:pt idx="317">
                  <c:v>TXN100318</c:v>
                </c:pt>
                <c:pt idx="318">
                  <c:v>TXN100319</c:v>
                </c:pt>
                <c:pt idx="319">
                  <c:v>TXN100320</c:v>
                </c:pt>
                <c:pt idx="320">
                  <c:v>TXN100321</c:v>
                </c:pt>
                <c:pt idx="321">
                  <c:v>TXN100322</c:v>
                </c:pt>
                <c:pt idx="322">
                  <c:v>TXN100323</c:v>
                </c:pt>
                <c:pt idx="323">
                  <c:v>TXN100324</c:v>
                </c:pt>
                <c:pt idx="324">
                  <c:v>TXN100325</c:v>
                </c:pt>
                <c:pt idx="325">
                  <c:v>TXN100326</c:v>
                </c:pt>
                <c:pt idx="326">
                  <c:v>TXN100327</c:v>
                </c:pt>
                <c:pt idx="327">
                  <c:v>TXN100328</c:v>
                </c:pt>
                <c:pt idx="328">
                  <c:v>TXN100329</c:v>
                </c:pt>
                <c:pt idx="329">
                  <c:v>TXN100330</c:v>
                </c:pt>
                <c:pt idx="330">
                  <c:v>TXN100331</c:v>
                </c:pt>
                <c:pt idx="331">
                  <c:v>TXN100332</c:v>
                </c:pt>
                <c:pt idx="332">
                  <c:v>TXN100333</c:v>
                </c:pt>
                <c:pt idx="333">
                  <c:v>TXN100334</c:v>
                </c:pt>
                <c:pt idx="334">
                  <c:v>TXN100335</c:v>
                </c:pt>
                <c:pt idx="335">
                  <c:v>TXN100336</c:v>
                </c:pt>
                <c:pt idx="336">
                  <c:v>TXN100337</c:v>
                </c:pt>
                <c:pt idx="337">
                  <c:v>TXN100338</c:v>
                </c:pt>
                <c:pt idx="338">
                  <c:v>TXN100339</c:v>
                </c:pt>
                <c:pt idx="339">
                  <c:v>TXN100340</c:v>
                </c:pt>
                <c:pt idx="340">
                  <c:v>TXN100341</c:v>
                </c:pt>
                <c:pt idx="341">
                  <c:v>TXN100342</c:v>
                </c:pt>
                <c:pt idx="342">
                  <c:v>TXN100343</c:v>
                </c:pt>
                <c:pt idx="343">
                  <c:v>TXN100344</c:v>
                </c:pt>
                <c:pt idx="344">
                  <c:v>TXN100345</c:v>
                </c:pt>
                <c:pt idx="345">
                  <c:v>TXN100346</c:v>
                </c:pt>
                <c:pt idx="346">
                  <c:v>TXN100347</c:v>
                </c:pt>
                <c:pt idx="347">
                  <c:v>TXN100348</c:v>
                </c:pt>
                <c:pt idx="348">
                  <c:v>TXN100349</c:v>
                </c:pt>
                <c:pt idx="349">
                  <c:v>TXN100350</c:v>
                </c:pt>
                <c:pt idx="350">
                  <c:v>TXN100351</c:v>
                </c:pt>
                <c:pt idx="351">
                  <c:v>TXN100352</c:v>
                </c:pt>
                <c:pt idx="352">
                  <c:v>TXN100353</c:v>
                </c:pt>
                <c:pt idx="353">
                  <c:v>TXN100354</c:v>
                </c:pt>
                <c:pt idx="354">
                  <c:v>TXN100355</c:v>
                </c:pt>
                <c:pt idx="355">
                  <c:v>TXN100356</c:v>
                </c:pt>
                <c:pt idx="356">
                  <c:v>TXN100357</c:v>
                </c:pt>
                <c:pt idx="357">
                  <c:v>TXN100358</c:v>
                </c:pt>
                <c:pt idx="358">
                  <c:v>TXN100359</c:v>
                </c:pt>
                <c:pt idx="359">
                  <c:v>TXN100360</c:v>
                </c:pt>
                <c:pt idx="360">
                  <c:v>TXN100361</c:v>
                </c:pt>
                <c:pt idx="361">
                  <c:v>TXN100362</c:v>
                </c:pt>
                <c:pt idx="362">
                  <c:v>TXN100363</c:v>
                </c:pt>
                <c:pt idx="363">
                  <c:v>TXN100364</c:v>
                </c:pt>
                <c:pt idx="364">
                  <c:v>TXN100365</c:v>
                </c:pt>
                <c:pt idx="365">
                  <c:v>TXN100366</c:v>
                </c:pt>
                <c:pt idx="366">
                  <c:v>TXN100367</c:v>
                </c:pt>
                <c:pt idx="367">
                  <c:v>TXN100368</c:v>
                </c:pt>
                <c:pt idx="368">
                  <c:v>TXN100369</c:v>
                </c:pt>
                <c:pt idx="369">
                  <c:v>TXN100370</c:v>
                </c:pt>
                <c:pt idx="370">
                  <c:v>TXN100371</c:v>
                </c:pt>
                <c:pt idx="371">
                  <c:v>TXN100372</c:v>
                </c:pt>
                <c:pt idx="372">
                  <c:v>TXN100373</c:v>
                </c:pt>
                <c:pt idx="373">
                  <c:v>TXN100374</c:v>
                </c:pt>
                <c:pt idx="374">
                  <c:v>TXN100375</c:v>
                </c:pt>
                <c:pt idx="375">
                  <c:v>TXN100376</c:v>
                </c:pt>
                <c:pt idx="376">
                  <c:v>TXN100377</c:v>
                </c:pt>
                <c:pt idx="377">
                  <c:v>TXN100378</c:v>
                </c:pt>
                <c:pt idx="378">
                  <c:v>TXN100379</c:v>
                </c:pt>
                <c:pt idx="379">
                  <c:v>TXN100380</c:v>
                </c:pt>
                <c:pt idx="380">
                  <c:v>TXN100381</c:v>
                </c:pt>
                <c:pt idx="381">
                  <c:v>TXN100382</c:v>
                </c:pt>
                <c:pt idx="382">
                  <c:v>TXN100383</c:v>
                </c:pt>
                <c:pt idx="383">
                  <c:v>TXN100384</c:v>
                </c:pt>
                <c:pt idx="384">
                  <c:v>TXN100385</c:v>
                </c:pt>
                <c:pt idx="385">
                  <c:v>TXN100386</c:v>
                </c:pt>
                <c:pt idx="386">
                  <c:v>TXN100387</c:v>
                </c:pt>
                <c:pt idx="387">
                  <c:v>TXN100388</c:v>
                </c:pt>
                <c:pt idx="388">
                  <c:v>TXN100389</c:v>
                </c:pt>
                <c:pt idx="389">
                  <c:v>TXN100390</c:v>
                </c:pt>
                <c:pt idx="390">
                  <c:v>TXN100391</c:v>
                </c:pt>
                <c:pt idx="391">
                  <c:v>TXN100392</c:v>
                </c:pt>
                <c:pt idx="392">
                  <c:v>TXN100393</c:v>
                </c:pt>
                <c:pt idx="393">
                  <c:v>TXN100394</c:v>
                </c:pt>
                <c:pt idx="394">
                  <c:v>TXN100395</c:v>
                </c:pt>
                <c:pt idx="395">
                  <c:v>TXN100396</c:v>
                </c:pt>
                <c:pt idx="396">
                  <c:v>TXN100397</c:v>
                </c:pt>
                <c:pt idx="397">
                  <c:v>TXN100398</c:v>
                </c:pt>
                <c:pt idx="398">
                  <c:v>TXN100399</c:v>
                </c:pt>
                <c:pt idx="399">
                  <c:v>TXN100400</c:v>
                </c:pt>
                <c:pt idx="400">
                  <c:v>TXN100401</c:v>
                </c:pt>
                <c:pt idx="401">
                  <c:v>TXN100402</c:v>
                </c:pt>
                <c:pt idx="402">
                  <c:v>TXN100403</c:v>
                </c:pt>
                <c:pt idx="403">
                  <c:v>TXN100404</c:v>
                </c:pt>
                <c:pt idx="404">
                  <c:v>TXN100405</c:v>
                </c:pt>
                <c:pt idx="405">
                  <c:v>TXN100406</c:v>
                </c:pt>
                <c:pt idx="406">
                  <c:v>TXN100407</c:v>
                </c:pt>
                <c:pt idx="407">
                  <c:v>TXN100408</c:v>
                </c:pt>
                <c:pt idx="408">
                  <c:v>TXN100409</c:v>
                </c:pt>
                <c:pt idx="409">
                  <c:v>TXN100410</c:v>
                </c:pt>
                <c:pt idx="410">
                  <c:v>TXN100411</c:v>
                </c:pt>
                <c:pt idx="411">
                  <c:v>TXN100412</c:v>
                </c:pt>
                <c:pt idx="412">
                  <c:v>TXN100413</c:v>
                </c:pt>
                <c:pt idx="413">
                  <c:v>TXN100414</c:v>
                </c:pt>
                <c:pt idx="414">
                  <c:v>TXN100415</c:v>
                </c:pt>
                <c:pt idx="415">
                  <c:v>TXN100416</c:v>
                </c:pt>
                <c:pt idx="416">
                  <c:v>TXN100417</c:v>
                </c:pt>
                <c:pt idx="417">
                  <c:v>TXN100418</c:v>
                </c:pt>
                <c:pt idx="418">
                  <c:v>TXN100419</c:v>
                </c:pt>
                <c:pt idx="419">
                  <c:v>TXN100420</c:v>
                </c:pt>
                <c:pt idx="420">
                  <c:v>TXN100421</c:v>
                </c:pt>
                <c:pt idx="421">
                  <c:v>TXN100422</c:v>
                </c:pt>
                <c:pt idx="422">
                  <c:v>TXN100423</c:v>
                </c:pt>
                <c:pt idx="423">
                  <c:v>TXN100424</c:v>
                </c:pt>
                <c:pt idx="424">
                  <c:v>TXN100425</c:v>
                </c:pt>
                <c:pt idx="425">
                  <c:v>TXN100426</c:v>
                </c:pt>
                <c:pt idx="426">
                  <c:v>TXN100427</c:v>
                </c:pt>
                <c:pt idx="427">
                  <c:v>TXN100428</c:v>
                </c:pt>
                <c:pt idx="428">
                  <c:v>TXN100429</c:v>
                </c:pt>
                <c:pt idx="429">
                  <c:v>TXN100430</c:v>
                </c:pt>
                <c:pt idx="430">
                  <c:v>TXN100431</c:v>
                </c:pt>
                <c:pt idx="431">
                  <c:v>TXN100432</c:v>
                </c:pt>
                <c:pt idx="432">
                  <c:v>TXN100433</c:v>
                </c:pt>
                <c:pt idx="433">
                  <c:v>TXN100434</c:v>
                </c:pt>
                <c:pt idx="434">
                  <c:v>TXN100435</c:v>
                </c:pt>
                <c:pt idx="435">
                  <c:v>TXN100436</c:v>
                </c:pt>
                <c:pt idx="436">
                  <c:v>TXN100437</c:v>
                </c:pt>
                <c:pt idx="437">
                  <c:v>TXN100438</c:v>
                </c:pt>
                <c:pt idx="438">
                  <c:v>TXN100439</c:v>
                </c:pt>
                <c:pt idx="439">
                  <c:v>TXN100440</c:v>
                </c:pt>
                <c:pt idx="440">
                  <c:v>TXN100441</c:v>
                </c:pt>
                <c:pt idx="441">
                  <c:v>TXN100442</c:v>
                </c:pt>
                <c:pt idx="442">
                  <c:v>TXN100443</c:v>
                </c:pt>
                <c:pt idx="443">
                  <c:v>TXN100444</c:v>
                </c:pt>
                <c:pt idx="444">
                  <c:v>TXN100445</c:v>
                </c:pt>
                <c:pt idx="445">
                  <c:v>TXN100446</c:v>
                </c:pt>
                <c:pt idx="446">
                  <c:v>TXN100447</c:v>
                </c:pt>
                <c:pt idx="447">
                  <c:v>TXN100448</c:v>
                </c:pt>
                <c:pt idx="448">
                  <c:v>TXN100449</c:v>
                </c:pt>
                <c:pt idx="449">
                  <c:v>TXN100450</c:v>
                </c:pt>
                <c:pt idx="450">
                  <c:v>TXN100451</c:v>
                </c:pt>
                <c:pt idx="451">
                  <c:v>TXN100452</c:v>
                </c:pt>
                <c:pt idx="452">
                  <c:v>TXN100453</c:v>
                </c:pt>
                <c:pt idx="453">
                  <c:v>TXN100454</c:v>
                </c:pt>
                <c:pt idx="454">
                  <c:v>TXN100455</c:v>
                </c:pt>
                <c:pt idx="455">
                  <c:v>TXN100456</c:v>
                </c:pt>
                <c:pt idx="456">
                  <c:v>TXN100457</c:v>
                </c:pt>
                <c:pt idx="457">
                  <c:v>TXN100458</c:v>
                </c:pt>
                <c:pt idx="458">
                  <c:v>TXN100459</c:v>
                </c:pt>
                <c:pt idx="459">
                  <c:v>TXN100460</c:v>
                </c:pt>
                <c:pt idx="460">
                  <c:v>TXN100461</c:v>
                </c:pt>
                <c:pt idx="461">
                  <c:v>TXN100462</c:v>
                </c:pt>
                <c:pt idx="462">
                  <c:v>TXN100463</c:v>
                </c:pt>
                <c:pt idx="463">
                  <c:v>TXN100464</c:v>
                </c:pt>
                <c:pt idx="464">
                  <c:v>TXN100465</c:v>
                </c:pt>
                <c:pt idx="465">
                  <c:v>TXN100466</c:v>
                </c:pt>
                <c:pt idx="466">
                  <c:v>TXN100467</c:v>
                </c:pt>
                <c:pt idx="467">
                  <c:v>TXN100468</c:v>
                </c:pt>
                <c:pt idx="468">
                  <c:v>TXN100469</c:v>
                </c:pt>
                <c:pt idx="469">
                  <c:v>TXN100470</c:v>
                </c:pt>
                <c:pt idx="470">
                  <c:v>TXN100471</c:v>
                </c:pt>
                <c:pt idx="471">
                  <c:v>TXN100472</c:v>
                </c:pt>
                <c:pt idx="472">
                  <c:v>TXN100473</c:v>
                </c:pt>
                <c:pt idx="473">
                  <c:v>TXN100474</c:v>
                </c:pt>
                <c:pt idx="474">
                  <c:v>TXN100475</c:v>
                </c:pt>
                <c:pt idx="475">
                  <c:v>TXN100476</c:v>
                </c:pt>
                <c:pt idx="476">
                  <c:v>TXN100477</c:v>
                </c:pt>
                <c:pt idx="477">
                  <c:v>TXN100478</c:v>
                </c:pt>
                <c:pt idx="478">
                  <c:v>TXN100479</c:v>
                </c:pt>
                <c:pt idx="479">
                  <c:v>TXN100480</c:v>
                </c:pt>
                <c:pt idx="480">
                  <c:v>TXN100481</c:v>
                </c:pt>
                <c:pt idx="481">
                  <c:v>TXN100482</c:v>
                </c:pt>
                <c:pt idx="482">
                  <c:v>TXN100483</c:v>
                </c:pt>
                <c:pt idx="483">
                  <c:v>TXN100484</c:v>
                </c:pt>
                <c:pt idx="484">
                  <c:v>TXN100485</c:v>
                </c:pt>
                <c:pt idx="485">
                  <c:v>TXN100486</c:v>
                </c:pt>
                <c:pt idx="486">
                  <c:v>TXN100487</c:v>
                </c:pt>
                <c:pt idx="487">
                  <c:v>TXN100488</c:v>
                </c:pt>
                <c:pt idx="488">
                  <c:v>TXN100489</c:v>
                </c:pt>
                <c:pt idx="489">
                  <c:v>TXN100490</c:v>
                </c:pt>
                <c:pt idx="490">
                  <c:v>TXN100491</c:v>
                </c:pt>
                <c:pt idx="491">
                  <c:v>TXN100492</c:v>
                </c:pt>
                <c:pt idx="492">
                  <c:v>TXN100493</c:v>
                </c:pt>
                <c:pt idx="493">
                  <c:v>TXN100494</c:v>
                </c:pt>
                <c:pt idx="494">
                  <c:v>TXN100495</c:v>
                </c:pt>
                <c:pt idx="495">
                  <c:v>TXN100496</c:v>
                </c:pt>
                <c:pt idx="496">
                  <c:v>TXN100497</c:v>
                </c:pt>
                <c:pt idx="497">
                  <c:v>TXN100498</c:v>
                </c:pt>
                <c:pt idx="498">
                  <c:v>TXN100499</c:v>
                </c:pt>
                <c:pt idx="499">
                  <c:v>TXN100500</c:v>
                </c:pt>
                <c:pt idx="500">
                  <c:v>TXN100501</c:v>
                </c:pt>
                <c:pt idx="501">
                  <c:v>TXN100502</c:v>
                </c:pt>
                <c:pt idx="502">
                  <c:v>TXN100503</c:v>
                </c:pt>
                <c:pt idx="503">
                  <c:v>TXN100504</c:v>
                </c:pt>
                <c:pt idx="504">
                  <c:v>TXN100505</c:v>
                </c:pt>
                <c:pt idx="505">
                  <c:v>TXN100506</c:v>
                </c:pt>
                <c:pt idx="506">
                  <c:v>TXN100507</c:v>
                </c:pt>
                <c:pt idx="507">
                  <c:v>TXN100508</c:v>
                </c:pt>
                <c:pt idx="508">
                  <c:v>TXN100509</c:v>
                </c:pt>
                <c:pt idx="509">
                  <c:v>TXN100510</c:v>
                </c:pt>
                <c:pt idx="510">
                  <c:v>TXN100511</c:v>
                </c:pt>
                <c:pt idx="511">
                  <c:v>TXN100512</c:v>
                </c:pt>
                <c:pt idx="512">
                  <c:v>TXN100513</c:v>
                </c:pt>
                <c:pt idx="513">
                  <c:v>TXN100514</c:v>
                </c:pt>
                <c:pt idx="514">
                  <c:v>TXN100515</c:v>
                </c:pt>
                <c:pt idx="515">
                  <c:v>TXN100516</c:v>
                </c:pt>
                <c:pt idx="516">
                  <c:v>TXN100517</c:v>
                </c:pt>
                <c:pt idx="517">
                  <c:v>TXN100518</c:v>
                </c:pt>
                <c:pt idx="518">
                  <c:v>TXN100519</c:v>
                </c:pt>
                <c:pt idx="519">
                  <c:v>TXN100520</c:v>
                </c:pt>
                <c:pt idx="520">
                  <c:v>TXN100521</c:v>
                </c:pt>
                <c:pt idx="521">
                  <c:v>TXN100522</c:v>
                </c:pt>
                <c:pt idx="522">
                  <c:v>TXN100523</c:v>
                </c:pt>
                <c:pt idx="523">
                  <c:v>TXN100524</c:v>
                </c:pt>
                <c:pt idx="524">
                  <c:v>TXN100525</c:v>
                </c:pt>
                <c:pt idx="525">
                  <c:v>TXN100526</c:v>
                </c:pt>
                <c:pt idx="526">
                  <c:v>TXN100527</c:v>
                </c:pt>
                <c:pt idx="527">
                  <c:v>TXN100528</c:v>
                </c:pt>
                <c:pt idx="528">
                  <c:v>TXN100529</c:v>
                </c:pt>
                <c:pt idx="529">
                  <c:v>TXN100530</c:v>
                </c:pt>
                <c:pt idx="530">
                  <c:v>TXN100531</c:v>
                </c:pt>
                <c:pt idx="531">
                  <c:v>TXN100532</c:v>
                </c:pt>
                <c:pt idx="532">
                  <c:v>TXN100533</c:v>
                </c:pt>
                <c:pt idx="533">
                  <c:v>TXN100534</c:v>
                </c:pt>
                <c:pt idx="534">
                  <c:v>TXN100535</c:v>
                </c:pt>
                <c:pt idx="535">
                  <c:v>TXN100536</c:v>
                </c:pt>
                <c:pt idx="536">
                  <c:v>TXN100537</c:v>
                </c:pt>
                <c:pt idx="537">
                  <c:v>TXN100538</c:v>
                </c:pt>
                <c:pt idx="538">
                  <c:v>TXN100539</c:v>
                </c:pt>
                <c:pt idx="539">
                  <c:v>TXN100540</c:v>
                </c:pt>
                <c:pt idx="540">
                  <c:v>TXN100541</c:v>
                </c:pt>
                <c:pt idx="541">
                  <c:v>TXN100542</c:v>
                </c:pt>
                <c:pt idx="542">
                  <c:v>TXN100543</c:v>
                </c:pt>
                <c:pt idx="543">
                  <c:v>TXN100544</c:v>
                </c:pt>
                <c:pt idx="544">
                  <c:v>TXN100545</c:v>
                </c:pt>
                <c:pt idx="545">
                  <c:v>TXN100546</c:v>
                </c:pt>
                <c:pt idx="546">
                  <c:v>TXN100547</c:v>
                </c:pt>
                <c:pt idx="547">
                  <c:v>TXN100548</c:v>
                </c:pt>
                <c:pt idx="548">
                  <c:v>TXN100549</c:v>
                </c:pt>
                <c:pt idx="549">
                  <c:v>TXN100550</c:v>
                </c:pt>
                <c:pt idx="550">
                  <c:v>TXN100551</c:v>
                </c:pt>
                <c:pt idx="551">
                  <c:v>TXN100552</c:v>
                </c:pt>
                <c:pt idx="552">
                  <c:v>TXN100553</c:v>
                </c:pt>
                <c:pt idx="553">
                  <c:v>TXN100554</c:v>
                </c:pt>
                <c:pt idx="554">
                  <c:v>TXN100555</c:v>
                </c:pt>
                <c:pt idx="555">
                  <c:v>TXN100556</c:v>
                </c:pt>
                <c:pt idx="556">
                  <c:v>TXN100557</c:v>
                </c:pt>
                <c:pt idx="557">
                  <c:v>TXN100558</c:v>
                </c:pt>
                <c:pt idx="558">
                  <c:v>TXN100559</c:v>
                </c:pt>
                <c:pt idx="559">
                  <c:v>TXN100560</c:v>
                </c:pt>
                <c:pt idx="560">
                  <c:v>TXN100561</c:v>
                </c:pt>
                <c:pt idx="561">
                  <c:v>TXN100562</c:v>
                </c:pt>
                <c:pt idx="562">
                  <c:v>TXN100563</c:v>
                </c:pt>
                <c:pt idx="563">
                  <c:v>TXN100564</c:v>
                </c:pt>
                <c:pt idx="564">
                  <c:v>TXN100565</c:v>
                </c:pt>
                <c:pt idx="565">
                  <c:v>TXN100566</c:v>
                </c:pt>
                <c:pt idx="566">
                  <c:v>TXN100567</c:v>
                </c:pt>
                <c:pt idx="567">
                  <c:v>TXN100568</c:v>
                </c:pt>
                <c:pt idx="568">
                  <c:v>TXN100569</c:v>
                </c:pt>
                <c:pt idx="569">
                  <c:v>TXN100570</c:v>
                </c:pt>
                <c:pt idx="570">
                  <c:v>TXN100571</c:v>
                </c:pt>
                <c:pt idx="571">
                  <c:v>TXN100572</c:v>
                </c:pt>
                <c:pt idx="572">
                  <c:v>TXN100573</c:v>
                </c:pt>
                <c:pt idx="573">
                  <c:v>TXN100574</c:v>
                </c:pt>
                <c:pt idx="574">
                  <c:v>TXN100575</c:v>
                </c:pt>
                <c:pt idx="575">
                  <c:v>TXN100576</c:v>
                </c:pt>
                <c:pt idx="576">
                  <c:v>TXN100577</c:v>
                </c:pt>
                <c:pt idx="577">
                  <c:v>TXN100578</c:v>
                </c:pt>
                <c:pt idx="578">
                  <c:v>TXN100579</c:v>
                </c:pt>
                <c:pt idx="579">
                  <c:v>TXN100580</c:v>
                </c:pt>
                <c:pt idx="580">
                  <c:v>TXN100581</c:v>
                </c:pt>
                <c:pt idx="581">
                  <c:v>TXN100582</c:v>
                </c:pt>
                <c:pt idx="582">
                  <c:v>TXN100583</c:v>
                </c:pt>
                <c:pt idx="583">
                  <c:v>TXN100584</c:v>
                </c:pt>
                <c:pt idx="584">
                  <c:v>TXN100585</c:v>
                </c:pt>
                <c:pt idx="585">
                  <c:v>TXN100586</c:v>
                </c:pt>
                <c:pt idx="586">
                  <c:v>TXN100587</c:v>
                </c:pt>
                <c:pt idx="587">
                  <c:v>TXN100588</c:v>
                </c:pt>
                <c:pt idx="588">
                  <c:v>TXN100589</c:v>
                </c:pt>
                <c:pt idx="589">
                  <c:v>TXN100590</c:v>
                </c:pt>
                <c:pt idx="590">
                  <c:v>TXN100591</c:v>
                </c:pt>
                <c:pt idx="591">
                  <c:v>TXN100592</c:v>
                </c:pt>
                <c:pt idx="592">
                  <c:v>TXN100593</c:v>
                </c:pt>
                <c:pt idx="593">
                  <c:v>TXN100594</c:v>
                </c:pt>
                <c:pt idx="594">
                  <c:v>TXN100595</c:v>
                </c:pt>
                <c:pt idx="595">
                  <c:v>TXN100596</c:v>
                </c:pt>
                <c:pt idx="596">
                  <c:v>TXN100597</c:v>
                </c:pt>
                <c:pt idx="597">
                  <c:v>TXN100598</c:v>
                </c:pt>
                <c:pt idx="598">
                  <c:v>TXN100599</c:v>
                </c:pt>
                <c:pt idx="599">
                  <c:v>TXN100600</c:v>
                </c:pt>
                <c:pt idx="600">
                  <c:v>TXN100601</c:v>
                </c:pt>
                <c:pt idx="601">
                  <c:v>TXN100602</c:v>
                </c:pt>
                <c:pt idx="602">
                  <c:v>TXN100603</c:v>
                </c:pt>
                <c:pt idx="603">
                  <c:v>TXN100604</c:v>
                </c:pt>
                <c:pt idx="604">
                  <c:v>TXN100605</c:v>
                </c:pt>
                <c:pt idx="605">
                  <c:v>TXN100606</c:v>
                </c:pt>
                <c:pt idx="606">
                  <c:v>TXN100607</c:v>
                </c:pt>
                <c:pt idx="607">
                  <c:v>TXN100608</c:v>
                </c:pt>
                <c:pt idx="608">
                  <c:v>TXN100609</c:v>
                </c:pt>
                <c:pt idx="609">
                  <c:v>TXN100610</c:v>
                </c:pt>
                <c:pt idx="610">
                  <c:v>TXN100611</c:v>
                </c:pt>
                <c:pt idx="611">
                  <c:v>TXN100612</c:v>
                </c:pt>
                <c:pt idx="612">
                  <c:v>TXN100613</c:v>
                </c:pt>
                <c:pt idx="613">
                  <c:v>TXN100614</c:v>
                </c:pt>
                <c:pt idx="614">
                  <c:v>TXN100615</c:v>
                </c:pt>
                <c:pt idx="615">
                  <c:v>TXN100616</c:v>
                </c:pt>
                <c:pt idx="616">
                  <c:v>TXN100617</c:v>
                </c:pt>
                <c:pt idx="617">
                  <c:v>TXN100618</c:v>
                </c:pt>
                <c:pt idx="618">
                  <c:v>TXN100619</c:v>
                </c:pt>
                <c:pt idx="619">
                  <c:v>TXN100620</c:v>
                </c:pt>
                <c:pt idx="620">
                  <c:v>TXN100621</c:v>
                </c:pt>
                <c:pt idx="621">
                  <c:v>TXN100622</c:v>
                </c:pt>
                <c:pt idx="622">
                  <c:v>TXN100623</c:v>
                </c:pt>
                <c:pt idx="623">
                  <c:v>TXN100624</c:v>
                </c:pt>
                <c:pt idx="624">
                  <c:v>TXN100625</c:v>
                </c:pt>
                <c:pt idx="625">
                  <c:v>TXN100626</c:v>
                </c:pt>
                <c:pt idx="626">
                  <c:v>TXN100627</c:v>
                </c:pt>
                <c:pt idx="627">
                  <c:v>TXN100628</c:v>
                </c:pt>
                <c:pt idx="628">
                  <c:v>TXN100629</c:v>
                </c:pt>
                <c:pt idx="629">
                  <c:v>TXN100630</c:v>
                </c:pt>
                <c:pt idx="630">
                  <c:v>TXN100631</c:v>
                </c:pt>
                <c:pt idx="631">
                  <c:v>TXN100632</c:v>
                </c:pt>
                <c:pt idx="632">
                  <c:v>TXN100633</c:v>
                </c:pt>
                <c:pt idx="633">
                  <c:v>TXN100634</c:v>
                </c:pt>
                <c:pt idx="634">
                  <c:v>TXN100635</c:v>
                </c:pt>
                <c:pt idx="635">
                  <c:v>TXN100636</c:v>
                </c:pt>
                <c:pt idx="636">
                  <c:v>TXN100637</c:v>
                </c:pt>
                <c:pt idx="637">
                  <c:v>TXN100638</c:v>
                </c:pt>
                <c:pt idx="638">
                  <c:v>TXN100639</c:v>
                </c:pt>
                <c:pt idx="639">
                  <c:v>TXN100640</c:v>
                </c:pt>
                <c:pt idx="640">
                  <c:v>TXN100641</c:v>
                </c:pt>
                <c:pt idx="641">
                  <c:v>TXN100642</c:v>
                </c:pt>
                <c:pt idx="642">
                  <c:v>TXN100643</c:v>
                </c:pt>
                <c:pt idx="643">
                  <c:v>TXN100644</c:v>
                </c:pt>
                <c:pt idx="644">
                  <c:v>TXN100645</c:v>
                </c:pt>
                <c:pt idx="645">
                  <c:v>TXN100646</c:v>
                </c:pt>
                <c:pt idx="646">
                  <c:v>TXN100647</c:v>
                </c:pt>
                <c:pt idx="647">
                  <c:v>TXN100648</c:v>
                </c:pt>
                <c:pt idx="648">
                  <c:v>TXN100649</c:v>
                </c:pt>
                <c:pt idx="649">
                  <c:v>TXN100650</c:v>
                </c:pt>
                <c:pt idx="650">
                  <c:v>TXN100651</c:v>
                </c:pt>
                <c:pt idx="651">
                  <c:v>TXN100652</c:v>
                </c:pt>
                <c:pt idx="652">
                  <c:v>TXN100653</c:v>
                </c:pt>
                <c:pt idx="653">
                  <c:v>TXN100654</c:v>
                </c:pt>
                <c:pt idx="654">
                  <c:v>TXN100655</c:v>
                </c:pt>
                <c:pt idx="655">
                  <c:v>TXN100656</c:v>
                </c:pt>
                <c:pt idx="656">
                  <c:v>TXN100657</c:v>
                </c:pt>
                <c:pt idx="657">
                  <c:v>TXN100658</c:v>
                </c:pt>
                <c:pt idx="658">
                  <c:v>TXN100659</c:v>
                </c:pt>
                <c:pt idx="659">
                  <c:v>TXN100660</c:v>
                </c:pt>
                <c:pt idx="660">
                  <c:v>TXN100661</c:v>
                </c:pt>
                <c:pt idx="661">
                  <c:v>TXN100662</c:v>
                </c:pt>
                <c:pt idx="662">
                  <c:v>TXN100663</c:v>
                </c:pt>
                <c:pt idx="663">
                  <c:v>TXN100664</c:v>
                </c:pt>
                <c:pt idx="664">
                  <c:v>TXN100665</c:v>
                </c:pt>
                <c:pt idx="665">
                  <c:v>TXN100666</c:v>
                </c:pt>
                <c:pt idx="666">
                  <c:v>TXN100667</c:v>
                </c:pt>
                <c:pt idx="667">
                  <c:v>TXN100668</c:v>
                </c:pt>
                <c:pt idx="668">
                  <c:v>TXN100669</c:v>
                </c:pt>
                <c:pt idx="669">
                  <c:v>TXN100670</c:v>
                </c:pt>
                <c:pt idx="670">
                  <c:v>TXN100671</c:v>
                </c:pt>
                <c:pt idx="671">
                  <c:v>TXN100672</c:v>
                </c:pt>
                <c:pt idx="672">
                  <c:v>TXN100673</c:v>
                </c:pt>
                <c:pt idx="673">
                  <c:v>TXN100674</c:v>
                </c:pt>
                <c:pt idx="674">
                  <c:v>TXN100675</c:v>
                </c:pt>
                <c:pt idx="675">
                  <c:v>TXN100676</c:v>
                </c:pt>
                <c:pt idx="676">
                  <c:v>TXN100677</c:v>
                </c:pt>
                <c:pt idx="677">
                  <c:v>TXN100678</c:v>
                </c:pt>
                <c:pt idx="678">
                  <c:v>TXN100679</c:v>
                </c:pt>
                <c:pt idx="679">
                  <c:v>TXN100680</c:v>
                </c:pt>
                <c:pt idx="680">
                  <c:v>TXN100681</c:v>
                </c:pt>
                <c:pt idx="681">
                  <c:v>TXN100682</c:v>
                </c:pt>
                <c:pt idx="682">
                  <c:v>TXN100683</c:v>
                </c:pt>
                <c:pt idx="683">
                  <c:v>TXN100684</c:v>
                </c:pt>
                <c:pt idx="684">
                  <c:v>TXN100685</c:v>
                </c:pt>
                <c:pt idx="685">
                  <c:v>TXN100686</c:v>
                </c:pt>
                <c:pt idx="686">
                  <c:v>TXN100687</c:v>
                </c:pt>
                <c:pt idx="687">
                  <c:v>TXN100688</c:v>
                </c:pt>
                <c:pt idx="688">
                  <c:v>TXN100689</c:v>
                </c:pt>
                <c:pt idx="689">
                  <c:v>TXN100690</c:v>
                </c:pt>
                <c:pt idx="690">
                  <c:v>TXN100691</c:v>
                </c:pt>
                <c:pt idx="691">
                  <c:v>TXN100692</c:v>
                </c:pt>
                <c:pt idx="692">
                  <c:v>TXN100693</c:v>
                </c:pt>
                <c:pt idx="693">
                  <c:v>TXN100694</c:v>
                </c:pt>
                <c:pt idx="694">
                  <c:v>TXN100695</c:v>
                </c:pt>
                <c:pt idx="695">
                  <c:v>TXN100696</c:v>
                </c:pt>
                <c:pt idx="696">
                  <c:v>TXN100697</c:v>
                </c:pt>
                <c:pt idx="697">
                  <c:v>TXN100698</c:v>
                </c:pt>
                <c:pt idx="698">
                  <c:v>TXN100699</c:v>
                </c:pt>
                <c:pt idx="699">
                  <c:v>TXN100700</c:v>
                </c:pt>
                <c:pt idx="700">
                  <c:v>TXN100701</c:v>
                </c:pt>
                <c:pt idx="701">
                  <c:v>TXN100702</c:v>
                </c:pt>
                <c:pt idx="702">
                  <c:v>TXN100703</c:v>
                </c:pt>
                <c:pt idx="703">
                  <c:v>TXN100704</c:v>
                </c:pt>
                <c:pt idx="704">
                  <c:v>TXN100705</c:v>
                </c:pt>
                <c:pt idx="705">
                  <c:v>TXN100706</c:v>
                </c:pt>
                <c:pt idx="706">
                  <c:v>TXN100707</c:v>
                </c:pt>
                <c:pt idx="707">
                  <c:v>TXN100708</c:v>
                </c:pt>
                <c:pt idx="708">
                  <c:v>TXN100709</c:v>
                </c:pt>
                <c:pt idx="709">
                  <c:v>TXN100710</c:v>
                </c:pt>
                <c:pt idx="710">
                  <c:v>TXN100711</c:v>
                </c:pt>
                <c:pt idx="711">
                  <c:v>TXN100712</c:v>
                </c:pt>
                <c:pt idx="712">
                  <c:v>TXN100713</c:v>
                </c:pt>
                <c:pt idx="713">
                  <c:v>TXN100714</c:v>
                </c:pt>
                <c:pt idx="714">
                  <c:v>TXN100715</c:v>
                </c:pt>
                <c:pt idx="715">
                  <c:v>TXN100716</c:v>
                </c:pt>
                <c:pt idx="716">
                  <c:v>TXN100717</c:v>
                </c:pt>
                <c:pt idx="717">
                  <c:v>TXN100718</c:v>
                </c:pt>
                <c:pt idx="718">
                  <c:v>TXN100719</c:v>
                </c:pt>
                <c:pt idx="719">
                  <c:v>TXN100720</c:v>
                </c:pt>
                <c:pt idx="720">
                  <c:v>TXN100721</c:v>
                </c:pt>
                <c:pt idx="721">
                  <c:v>TXN100722</c:v>
                </c:pt>
                <c:pt idx="722">
                  <c:v>TXN100723</c:v>
                </c:pt>
                <c:pt idx="723">
                  <c:v>TXN100724</c:v>
                </c:pt>
                <c:pt idx="724">
                  <c:v>TXN100725</c:v>
                </c:pt>
                <c:pt idx="725">
                  <c:v>TXN100726</c:v>
                </c:pt>
                <c:pt idx="726">
                  <c:v>TXN100727</c:v>
                </c:pt>
                <c:pt idx="727">
                  <c:v>TXN100728</c:v>
                </c:pt>
                <c:pt idx="728">
                  <c:v>TXN100729</c:v>
                </c:pt>
                <c:pt idx="729">
                  <c:v>TXN100730</c:v>
                </c:pt>
                <c:pt idx="730">
                  <c:v>TXN100731</c:v>
                </c:pt>
                <c:pt idx="731">
                  <c:v>TXN100732</c:v>
                </c:pt>
                <c:pt idx="732">
                  <c:v>TXN100733</c:v>
                </c:pt>
                <c:pt idx="733">
                  <c:v>TXN100734</c:v>
                </c:pt>
                <c:pt idx="734">
                  <c:v>TXN100735</c:v>
                </c:pt>
                <c:pt idx="735">
                  <c:v>TXN100736</c:v>
                </c:pt>
                <c:pt idx="736">
                  <c:v>TXN100737</c:v>
                </c:pt>
                <c:pt idx="737">
                  <c:v>TXN100738</c:v>
                </c:pt>
                <c:pt idx="738">
                  <c:v>TXN100739</c:v>
                </c:pt>
                <c:pt idx="739">
                  <c:v>TXN100740</c:v>
                </c:pt>
                <c:pt idx="740">
                  <c:v>TXN100741</c:v>
                </c:pt>
                <c:pt idx="741">
                  <c:v>TXN100742</c:v>
                </c:pt>
                <c:pt idx="742">
                  <c:v>TXN100743</c:v>
                </c:pt>
                <c:pt idx="743">
                  <c:v>TXN100744</c:v>
                </c:pt>
                <c:pt idx="744">
                  <c:v>TXN100745</c:v>
                </c:pt>
                <c:pt idx="745">
                  <c:v>TXN100746</c:v>
                </c:pt>
                <c:pt idx="746">
                  <c:v>TXN100747</c:v>
                </c:pt>
                <c:pt idx="747">
                  <c:v>TXN100748</c:v>
                </c:pt>
                <c:pt idx="748">
                  <c:v>TXN100749</c:v>
                </c:pt>
                <c:pt idx="749">
                  <c:v>TXN100750</c:v>
                </c:pt>
                <c:pt idx="750">
                  <c:v>TXN100751</c:v>
                </c:pt>
                <c:pt idx="751">
                  <c:v>TXN100752</c:v>
                </c:pt>
                <c:pt idx="752">
                  <c:v>TXN100753</c:v>
                </c:pt>
                <c:pt idx="753">
                  <c:v>TXN100754</c:v>
                </c:pt>
                <c:pt idx="754">
                  <c:v>TXN100755</c:v>
                </c:pt>
                <c:pt idx="755">
                  <c:v>TXN100756</c:v>
                </c:pt>
                <c:pt idx="756">
                  <c:v>TXN100757</c:v>
                </c:pt>
                <c:pt idx="757">
                  <c:v>TXN100758</c:v>
                </c:pt>
                <c:pt idx="758">
                  <c:v>TXN100759</c:v>
                </c:pt>
                <c:pt idx="759">
                  <c:v>TXN100760</c:v>
                </c:pt>
                <c:pt idx="760">
                  <c:v>TXN100761</c:v>
                </c:pt>
                <c:pt idx="761">
                  <c:v>TXN100762</c:v>
                </c:pt>
                <c:pt idx="762">
                  <c:v>TXN100763</c:v>
                </c:pt>
                <c:pt idx="763">
                  <c:v>TXN100764</c:v>
                </c:pt>
                <c:pt idx="764">
                  <c:v>TXN100765</c:v>
                </c:pt>
                <c:pt idx="765">
                  <c:v>TXN100766</c:v>
                </c:pt>
                <c:pt idx="766">
                  <c:v>TXN100767</c:v>
                </c:pt>
                <c:pt idx="767">
                  <c:v>TXN100768</c:v>
                </c:pt>
                <c:pt idx="768">
                  <c:v>TXN100769</c:v>
                </c:pt>
                <c:pt idx="769">
                  <c:v>TXN100770</c:v>
                </c:pt>
                <c:pt idx="770">
                  <c:v>TXN100771</c:v>
                </c:pt>
                <c:pt idx="771">
                  <c:v>TXN100772</c:v>
                </c:pt>
                <c:pt idx="772">
                  <c:v>TXN100773</c:v>
                </c:pt>
                <c:pt idx="773">
                  <c:v>TXN100774</c:v>
                </c:pt>
                <c:pt idx="774">
                  <c:v>TXN100775</c:v>
                </c:pt>
                <c:pt idx="775">
                  <c:v>TXN100776</c:v>
                </c:pt>
                <c:pt idx="776">
                  <c:v>TXN100777</c:v>
                </c:pt>
                <c:pt idx="777">
                  <c:v>TXN100778</c:v>
                </c:pt>
                <c:pt idx="778">
                  <c:v>TXN100779</c:v>
                </c:pt>
                <c:pt idx="779">
                  <c:v>TXN100780</c:v>
                </c:pt>
                <c:pt idx="780">
                  <c:v>TXN100781</c:v>
                </c:pt>
                <c:pt idx="781">
                  <c:v>TXN100782</c:v>
                </c:pt>
                <c:pt idx="782">
                  <c:v>TXN100783</c:v>
                </c:pt>
                <c:pt idx="783">
                  <c:v>TXN100784</c:v>
                </c:pt>
                <c:pt idx="784">
                  <c:v>TXN100785</c:v>
                </c:pt>
                <c:pt idx="785">
                  <c:v>TXN100786</c:v>
                </c:pt>
                <c:pt idx="786">
                  <c:v>TXN100787</c:v>
                </c:pt>
                <c:pt idx="787">
                  <c:v>TXN100788</c:v>
                </c:pt>
                <c:pt idx="788">
                  <c:v>TXN100789</c:v>
                </c:pt>
                <c:pt idx="789">
                  <c:v>TXN100790</c:v>
                </c:pt>
                <c:pt idx="790">
                  <c:v>TXN100791</c:v>
                </c:pt>
                <c:pt idx="791">
                  <c:v>TXN100792</c:v>
                </c:pt>
                <c:pt idx="792">
                  <c:v>TXN100793</c:v>
                </c:pt>
                <c:pt idx="793">
                  <c:v>TXN100794</c:v>
                </c:pt>
                <c:pt idx="794">
                  <c:v>TXN100795</c:v>
                </c:pt>
                <c:pt idx="795">
                  <c:v>TXN100796</c:v>
                </c:pt>
                <c:pt idx="796">
                  <c:v>TXN100797</c:v>
                </c:pt>
                <c:pt idx="797">
                  <c:v>TXN100798</c:v>
                </c:pt>
                <c:pt idx="798">
                  <c:v>TXN100799</c:v>
                </c:pt>
                <c:pt idx="799">
                  <c:v>TXN100800</c:v>
                </c:pt>
                <c:pt idx="800">
                  <c:v>TXN100801</c:v>
                </c:pt>
                <c:pt idx="801">
                  <c:v>TXN100802</c:v>
                </c:pt>
                <c:pt idx="802">
                  <c:v>TXN100803</c:v>
                </c:pt>
                <c:pt idx="803">
                  <c:v>TXN100804</c:v>
                </c:pt>
                <c:pt idx="804">
                  <c:v>TXN100805</c:v>
                </c:pt>
                <c:pt idx="805">
                  <c:v>TXN100806</c:v>
                </c:pt>
                <c:pt idx="806">
                  <c:v>TXN100807</c:v>
                </c:pt>
                <c:pt idx="807">
                  <c:v>TXN100808</c:v>
                </c:pt>
                <c:pt idx="808">
                  <c:v>TXN100809</c:v>
                </c:pt>
                <c:pt idx="809">
                  <c:v>TXN100810</c:v>
                </c:pt>
                <c:pt idx="810">
                  <c:v>TXN100811</c:v>
                </c:pt>
                <c:pt idx="811">
                  <c:v>TXN100812</c:v>
                </c:pt>
                <c:pt idx="812">
                  <c:v>TXN100813</c:v>
                </c:pt>
                <c:pt idx="813">
                  <c:v>TXN100814</c:v>
                </c:pt>
                <c:pt idx="814">
                  <c:v>TXN100815</c:v>
                </c:pt>
                <c:pt idx="815">
                  <c:v>TXN100816</c:v>
                </c:pt>
                <c:pt idx="816">
                  <c:v>TXN100817</c:v>
                </c:pt>
                <c:pt idx="817">
                  <c:v>TXN100818</c:v>
                </c:pt>
                <c:pt idx="818">
                  <c:v>TXN100819</c:v>
                </c:pt>
                <c:pt idx="819">
                  <c:v>TXN100820</c:v>
                </c:pt>
                <c:pt idx="820">
                  <c:v>TXN100821</c:v>
                </c:pt>
                <c:pt idx="821">
                  <c:v>TXN100822</c:v>
                </c:pt>
                <c:pt idx="822">
                  <c:v>TXN100823</c:v>
                </c:pt>
                <c:pt idx="823">
                  <c:v>TXN100824</c:v>
                </c:pt>
                <c:pt idx="824">
                  <c:v>TXN100825</c:v>
                </c:pt>
                <c:pt idx="825">
                  <c:v>TXN100826</c:v>
                </c:pt>
                <c:pt idx="826">
                  <c:v>TXN100827</c:v>
                </c:pt>
                <c:pt idx="827">
                  <c:v>TXN100828</c:v>
                </c:pt>
                <c:pt idx="828">
                  <c:v>TXN100829</c:v>
                </c:pt>
                <c:pt idx="829">
                  <c:v>TXN100830</c:v>
                </c:pt>
                <c:pt idx="830">
                  <c:v>TXN100831</c:v>
                </c:pt>
                <c:pt idx="831">
                  <c:v>TXN100832</c:v>
                </c:pt>
                <c:pt idx="832">
                  <c:v>TXN100833</c:v>
                </c:pt>
                <c:pt idx="833">
                  <c:v>TXN100834</c:v>
                </c:pt>
                <c:pt idx="834">
                  <c:v>TXN100835</c:v>
                </c:pt>
                <c:pt idx="835">
                  <c:v>TXN100836</c:v>
                </c:pt>
                <c:pt idx="836">
                  <c:v>TXN100837</c:v>
                </c:pt>
                <c:pt idx="837">
                  <c:v>TXN100838</c:v>
                </c:pt>
                <c:pt idx="838">
                  <c:v>TXN100839</c:v>
                </c:pt>
                <c:pt idx="839">
                  <c:v>TXN100840</c:v>
                </c:pt>
                <c:pt idx="840">
                  <c:v>TXN100841</c:v>
                </c:pt>
                <c:pt idx="841">
                  <c:v>TXN100842</c:v>
                </c:pt>
                <c:pt idx="842">
                  <c:v>TXN100843</c:v>
                </c:pt>
                <c:pt idx="843">
                  <c:v>TXN100844</c:v>
                </c:pt>
                <c:pt idx="844">
                  <c:v>TXN100845</c:v>
                </c:pt>
                <c:pt idx="845">
                  <c:v>TXN100846</c:v>
                </c:pt>
                <c:pt idx="846">
                  <c:v>TXN100847</c:v>
                </c:pt>
                <c:pt idx="847">
                  <c:v>TXN100848</c:v>
                </c:pt>
                <c:pt idx="848">
                  <c:v>TXN100849</c:v>
                </c:pt>
                <c:pt idx="849">
                  <c:v>TXN100850</c:v>
                </c:pt>
                <c:pt idx="850">
                  <c:v>TXN100851</c:v>
                </c:pt>
                <c:pt idx="851">
                  <c:v>TXN100852</c:v>
                </c:pt>
                <c:pt idx="852">
                  <c:v>TXN100853</c:v>
                </c:pt>
                <c:pt idx="853">
                  <c:v>TXN100854</c:v>
                </c:pt>
                <c:pt idx="854">
                  <c:v>TXN100855</c:v>
                </c:pt>
                <c:pt idx="855">
                  <c:v>TXN100856</c:v>
                </c:pt>
                <c:pt idx="856">
                  <c:v>TXN100857</c:v>
                </c:pt>
                <c:pt idx="857">
                  <c:v>TXN100858</c:v>
                </c:pt>
                <c:pt idx="858">
                  <c:v>TXN100859</c:v>
                </c:pt>
                <c:pt idx="859">
                  <c:v>TXN100860</c:v>
                </c:pt>
                <c:pt idx="860">
                  <c:v>TXN100861</c:v>
                </c:pt>
                <c:pt idx="861">
                  <c:v>TXN100862</c:v>
                </c:pt>
                <c:pt idx="862">
                  <c:v>TXN100863</c:v>
                </c:pt>
                <c:pt idx="863">
                  <c:v>TXN100864</c:v>
                </c:pt>
                <c:pt idx="864">
                  <c:v>TXN100865</c:v>
                </c:pt>
                <c:pt idx="865">
                  <c:v>TXN100866</c:v>
                </c:pt>
                <c:pt idx="866">
                  <c:v>TXN100867</c:v>
                </c:pt>
                <c:pt idx="867">
                  <c:v>TXN100868</c:v>
                </c:pt>
                <c:pt idx="868">
                  <c:v>TXN100869</c:v>
                </c:pt>
                <c:pt idx="869">
                  <c:v>TXN100870</c:v>
                </c:pt>
                <c:pt idx="870">
                  <c:v>TXN100871</c:v>
                </c:pt>
                <c:pt idx="871">
                  <c:v>TXN100872</c:v>
                </c:pt>
                <c:pt idx="872">
                  <c:v>TXN100873</c:v>
                </c:pt>
                <c:pt idx="873">
                  <c:v>TXN100874</c:v>
                </c:pt>
                <c:pt idx="874">
                  <c:v>TXN100875</c:v>
                </c:pt>
                <c:pt idx="875">
                  <c:v>TXN100876</c:v>
                </c:pt>
                <c:pt idx="876">
                  <c:v>TXN100877</c:v>
                </c:pt>
                <c:pt idx="877">
                  <c:v>TXN100878</c:v>
                </c:pt>
                <c:pt idx="878">
                  <c:v>TXN100879</c:v>
                </c:pt>
                <c:pt idx="879">
                  <c:v>TXN100880</c:v>
                </c:pt>
                <c:pt idx="880">
                  <c:v>TXN100881</c:v>
                </c:pt>
                <c:pt idx="881">
                  <c:v>TXN100882</c:v>
                </c:pt>
                <c:pt idx="882">
                  <c:v>TXN100883</c:v>
                </c:pt>
                <c:pt idx="883">
                  <c:v>TXN100884</c:v>
                </c:pt>
                <c:pt idx="884">
                  <c:v>TXN100885</c:v>
                </c:pt>
                <c:pt idx="885">
                  <c:v>TXN100886</c:v>
                </c:pt>
                <c:pt idx="886">
                  <c:v>TXN100887</c:v>
                </c:pt>
                <c:pt idx="887">
                  <c:v>TXN100888</c:v>
                </c:pt>
                <c:pt idx="888">
                  <c:v>TXN100889</c:v>
                </c:pt>
                <c:pt idx="889">
                  <c:v>TXN100890</c:v>
                </c:pt>
                <c:pt idx="890">
                  <c:v>TXN100891</c:v>
                </c:pt>
                <c:pt idx="891">
                  <c:v>TXN100892</c:v>
                </c:pt>
                <c:pt idx="892">
                  <c:v>TXN100893</c:v>
                </c:pt>
                <c:pt idx="893">
                  <c:v>TXN100894</c:v>
                </c:pt>
                <c:pt idx="894">
                  <c:v>TXN100895</c:v>
                </c:pt>
                <c:pt idx="895">
                  <c:v>TXN100896</c:v>
                </c:pt>
                <c:pt idx="896">
                  <c:v>TXN100897</c:v>
                </c:pt>
                <c:pt idx="897">
                  <c:v>TXN100898</c:v>
                </c:pt>
                <c:pt idx="898">
                  <c:v>TXN100899</c:v>
                </c:pt>
                <c:pt idx="899">
                  <c:v>TXN100900</c:v>
                </c:pt>
                <c:pt idx="900">
                  <c:v>TXN100901</c:v>
                </c:pt>
                <c:pt idx="901">
                  <c:v>TXN100902</c:v>
                </c:pt>
                <c:pt idx="902">
                  <c:v>TXN100903</c:v>
                </c:pt>
                <c:pt idx="903">
                  <c:v>TXN100904</c:v>
                </c:pt>
                <c:pt idx="904">
                  <c:v>TXN100905</c:v>
                </c:pt>
                <c:pt idx="905">
                  <c:v>TXN100906</c:v>
                </c:pt>
                <c:pt idx="906">
                  <c:v>TXN100907</c:v>
                </c:pt>
                <c:pt idx="907">
                  <c:v>TXN100908</c:v>
                </c:pt>
                <c:pt idx="908">
                  <c:v>TXN100909</c:v>
                </c:pt>
                <c:pt idx="909">
                  <c:v>TXN100910</c:v>
                </c:pt>
                <c:pt idx="910">
                  <c:v>TXN100911</c:v>
                </c:pt>
                <c:pt idx="911">
                  <c:v>TXN100912</c:v>
                </c:pt>
                <c:pt idx="912">
                  <c:v>TXN100913</c:v>
                </c:pt>
                <c:pt idx="913">
                  <c:v>TXN100914</c:v>
                </c:pt>
                <c:pt idx="914">
                  <c:v>TXN100915</c:v>
                </c:pt>
                <c:pt idx="915">
                  <c:v>TXN100916</c:v>
                </c:pt>
                <c:pt idx="916">
                  <c:v>TXN100917</c:v>
                </c:pt>
                <c:pt idx="917">
                  <c:v>TXN100918</c:v>
                </c:pt>
                <c:pt idx="918">
                  <c:v>TXN100919</c:v>
                </c:pt>
                <c:pt idx="919">
                  <c:v>TXN100920</c:v>
                </c:pt>
                <c:pt idx="920">
                  <c:v>TXN100921</c:v>
                </c:pt>
                <c:pt idx="921">
                  <c:v>TXN100922</c:v>
                </c:pt>
                <c:pt idx="922">
                  <c:v>TXN100923</c:v>
                </c:pt>
                <c:pt idx="923">
                  <c:v>TXN100924</c:v>
                </c:pt>
                <c:pt idx="924">
                  <c:v>TXN100925</c:v>
                </c:pt>
                <c:pt idx="925">
                  <c:v>TXN100926</c:v>
                </c:pt>
                <c:pt idx="926">
                  <c:v>TXN100927</c:v>
                </c:pt>
                <c:pt idx="927">
                  <c:v>TXN100928</c:v>
                </c:pt>
                <c:pt idx="928">
                  <c:v>TXN100929</c:v>
                </c:pt>
                <c:pt idx="929">
                  <c:v>TXN100930</c:v>
                </c:pt>
                <c:pt idx="930">
                  <c:v>TXN100931</c:v>
                </c:pt>
                <c:pt idx="931">
                  <c:v>TXN100932</c:v>
                </c:pt>
                <c:pt idx="932">
                  <c:v>TXN100933</c:v>
                </c:pt>
                <c:pt idx="933">
                  <c:v>TXN100934</c:v>
                </c:pt>
                <c:pt idx="934">
                  <c:v>TXN100935</c:v>
                </c:pt>
                <c:pt idx="935">
                  <c:v>TXN100936</c:v>
                </c:pt>
                <c:pt idx="936">
                  <c:v>TXN100937</c:v>
                </c:pt>
                <c:pt idx="937">
                  <c:v>TXN100938</c:v>
                </c:pt>
                <c:pt idx="938">
                  <c:v>TXN100939</c:v>
                </c:pt>
                <c:pt idx="939">
                  <c:v>TXN100940</c:v>
                </c:pt>
                <c:pt idx="940">
                  <c:v>TXN100941</c:v>
                </c:pt>
                <c:pt idx="941">
                  <c:v>TXN100942</c:v>
                </c:pt>
                <c:pt idx="942">
                  <c:v>TXN100943</c:v>
                </c:pt>
                <c:pt idx="943">
                  <c:v>TXN100944</c:v>
                </c:pt>
                <c:pt idx="944">
                  <c:v>TXN100945</c:v>
                </c:pt>
                <c:pt idx="945">
                  <c:v>TXN100946</c:v>
                </c:pt>
                <c:pt idx="946">
                  <c:v>TXN100947</c:v>
                </c:pt>
                <c:pt idx="947">
                  <c:v>TXN100948</c:v>
                </c:pt>
                <c:pt idx="948">
                  <c:v>TXN100949</c:v>
                </c:pt>
                <c:pt idx="949">
                  <c:v>TXN100950</c:v>
                </c:pt>
                <c:pt idx="950">
                  <c:v>TXN100951</c:v>
                </c:pt>
                <c:pt idx="951">
                  <c:v>TXN100952</c:v>
                </c:pt>
                <c:pt idx="952">
                  <c:v>TXN100953</c:v>
                </c:pt>
                <c:pt idx="953">
                  <c:v>TXN100954</c:v>
                </c:pt>
                <c:pt idx="954">
                  <c:v>TXN100955</c:v>
                </c:pt>
                <c:pt idx="955">
                  <c:v>TXN100956</c:v>
                </c:pt>
                <c:pt idx="956">
                  <c:v>TXN100957</c:v>
                </c:pt>
                <c:pt idx="957">
                  <c:v>TXN100958</c:v>
                </c:pt>
                <c:pt idx="958">
                  <c:v>TXN100959</c:v>
                </c:pt>
                <c:pt idx="959">
                  <c:v>TXN100960</c:v>
                </c:pt>
                <c:pt idx="960">
                  <c:v>TXN100961</c:v>
                </c:pt>
                <c:pt idx="961">
                  <c:v>TXN100962</c:v>
                </c:pt>
                <c:pt idx="962">
                  <c:v>TXN100963</c:v>
                </c:pt>
                <c:pt idx="963">
                  <c:v>TXN100964</c:v>
                </c:pt>
                <c:pt idx="964">
                  <c:v>TXN100965</c:v>
                </c:pt>
                <c:pt idx="965">
                  <c:v>TXN100966</c:v>
                </c:pt>
                <c:pt idx="966">
                  <c:v>TXN100967</c:v>
                </c:pt>
                <c:pt idx="967">
                  <c:v>TXN100968</c:v>
                </c:pt>
                <c:pt idx="968">
                  <c:v>TXN100969</c:v>
                </c:pt>
                <c:pt idx="969">
                  <c:v>TXN100970</c:v>
                </c:pt>
                <c:pt idx="970">
                  <c:v>TXN100971</c:v>
                </c:pt>
                <c:pt idx="971">
                  <c:v>TXN100972</c:v>
                </c:pt>
                <c:pt idx="972">
                  <c:v>TXN100973</c:v>
                </c:pt>
                <c:pt idx="973">
                  <c:v>TXN100974</c:v>
                </c:pt>
                <c:pt idx="974">
                  <c:v>TXN100975</c:v>
                </c:pt>
                <c:pt idx="975">
                  <c:v>TXN100976</c:v>
                </c:pt>
                <c:pt idx="976">
                  <c:v>TXN100977</c:v>
                </c:pt>
                <c:pt idx="977">
                  <c:v>TXN100978</c:v>
                </c:pt>
                <c:pt idx="978">
                  <c:v>TXN100979</c:v>
                </c:pt>
                <c:pt idx="979">
                  <c:v>TXN100980</c:v>
                </c:pt>
                <c:pt idx="980">
                  <c:v>TXN100981</c:v>
                </c:pt>
                <c:pt idx="981">
                  <c:v>TXN100982</c:v>
                </c:pt>
                <c:pt idx="982">
                  <c:v>TXN100983</c:v>
                </c:pt>
                <c:pt idx="983">
                  <c:v>TXN100984</c:v>
                </c:pt>
                <c:pt idx="984">
                  <c:v>TXN100985</c:v>
                </c:pt>
                <c:pt idx="985">
                  <c:v>TXN100986</c:v>
                </c:pt>
                <c:pt idx="986">
                  <c:v>TXN100987</c:v>
                </c:pt>
                <c:pt idx="987">
                  <c:v>TXN100988</c:v>
                </c:pt>
                <c:pt idx="988">
                  <c:v>TXN100989</c:v>
                </c:pt>
                <c:pt idx="989">
                  <c:v>TXN100990</c:v>
                </c:pt>
                <c:pt idx="990">
                  <c:v>TXN100991</c:v>
                </c:pt>
                <c:pt idx="991">
                  <c:v>TXN100992</c:v>
                </c:pt>
                <c:pt idx="992">
                  <c:v>TXN100993</c:v>
                </c:pt>
                <c:pt idx="993">
                  <c:v>TXN100994</c:v>
                </c:pt>
                <c:pt idx="994">
                  <c:v>TXN100995</c:v>
                </c:pt>
                <c:pt idx="995">
                  <c:v>TXN100996</c:v>
                </c:pt>
                <c:pt idx="996">
                  <c:v>TXN100997</c:v>
                </c:pt>
                <c:pt idx="997">
                  <c:v>TXN100998</c:v>
                </c:pt>
                <c:pt idx="998">
                  <c:v>TXN100999</c:v>
                </c:pt>
                <c:pt idx="999">
                  <c:v>TXN101000</c:v>
                </c:pt>
              </c:strCache>
            </c:strRef>
          </c:cat>
          <c:val>
            <c:numRef>
              <c:f>'Statistical chart'!$B$2:$B$1001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8290215"/>
        <c:axId val="446136580"/>
      </c:barChart>
      <c:catAx>
        <c:axId val="958290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136580"/>
        <c:crosses val="autoZero"/>
        <c:auto val="1"/>
        <c:lblAlgn val="ctr"/>
        <c:lblOffset val="100"/>
        <c:noMultiLvlLbl val="0"/>
      </c:catAx>
      <c:valAx>
        <c:axId val="4461365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29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d30267-14dd-4389-a29d-4701e4dbc1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10</xdr:col>
      <xdr:colOff>12700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12827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7.8321875" refreshedBy="thanu" recordCount="1000">
  <cacheSource type="worksheet">
    <worksheetSource name="Payments_Data"/>
  </cacheSource>
  <cacheFields count="18">
    <cacheField name="Transaction_ID" numFmtId="0">
      <sharedItems count="1000"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100500"/>
        <s v="TXN100501"/>
        <s v="TXN100502"/>
        <s v="TXN100503"/>
        <s v="TXN100504"/>
        <s v="TXN100505"/>
        <s v="TXN100506"/>
        <s v="TXN100507"/>
        <s v="TXN100508"/>
        <s v="TXN100509"/>
        <s v="TXN100510"/>
        <s v="TXN100511"/>
        <s v="TXN100512"/>
        <s v="TXN100513"/>
        <s v="TXN100514"/>
        <s v="TXN100515"/>
        <s v="TXN100516"/>
        <s v="TXN100517"/>
        <s v="TXN100518"/>
        <s v="TXN100519"/>
        <s v="TXN100520"/>
        <s v="TXN100521"/>
        <s v="TXN100522"/>
        <s v="TXN100523"/>
        <s v="TXN100524"/>
        <s v="TXN100525"/>
        <s v="TXN100526"/>
        <s v="TXN100527"/>
        <s v="TXN100528"/>
        <s v="TXN100529"/>
        <s v="TXN100530"/>
        <s v="TXN100531"/>
        <s v="TXN100532"/>
        <s v="TXN100533"/>
        <s v="TXN100534"/>
        <s v="TXN100535"/>
        <s v="TXN100536"/>
        <s v="TXN100537"/>
        <s v="TXN100538"/>
        <s v="TXN100539"/>
        <s v="TXN100540"/>
        <s v="TXN100541"/>
        <s v="TXN100542"/>
        <s v="TXN100543"/>
        <s v="TXN100544"/>
        <s v="TXN100545"/>
        <s v="TXN100546"/>
        <s v="TXN100547"/>
        <s v="TXN100548"/>
        <s v="TXN100549"/>
        <s v="TXN100550"/>
        <s v="TXN100551"/>
        <s v="TXN100552"/>
        <s v="TXN100553"/>
        <s v="TXN100554"/>
        <s v="TXN100555"/>
        <s v="TXN100556"/>
        <s v="TXN100557"/>
        <s v="TXN100558"/>
        <s v="TXN100559"/>
        <s v="TXN100560"/>
        <s v="TXN100561"/>
        <s v="TXN100562"/>
        <s v="TXN100563"/>
        <s v="TXN100564"/>
        <s v="TXN100565"/>
        <s v="TXN100566"/>
        <s v="TXN100567"/>
        <s v="TXN100568"/>
        <s v="TXN100569"/>
        <s v="TXN100570"/>
        <s v="TXN100571"/>
        <s v="TXN100572"/>
        <s v="TXN100573"/>
        <s v="TXN100574"/>
        <s v="TXN100575"/>
        <s v="TXN100576"/>
        <s v="TXN100577"/>
        <s v="TXN100578"/>
        <s v="TXN100579"/>
        <s v="TXN100580"/>
        <s v="TXN100581"/>
        <s v="TXN100582"/>
        <s v="TXN100583"/>
        <s v="TXN100584"/>
        <s v="TXN100585"/>
        <s v="TXN100586"/>
        <s v="TXN100587"/>
        <s v="TXN100588"/>
        <s v="TXN100589"/>
        <s v="TXN100590"/>
        <s v="TXN100591"/>
        <s v="TXN100592"/>
        <s v="TXN100593"/>
        <s v="TXN100594"/>
        <s v="TXN100595"/>
        <s v="TXN100596"/>
        <s v="TXN100597"/>
        <s v="TXN100598"/>
        <s v="TXN100599"/>
        <s v="TXN100600"/>
        <s v="TXN100601"/>
        <s v="TXN100602"/>
        <s v="TXN100603"/>
        <s v="TXN100604"/>
        <s v="TXN100605"/>
        <s v="TXN100606"/>
        <s v="TXN100607"/>
        <s v="TXN100608"/>
        <s v="TXN100609"/>
        <s v="TXN100610"/>
        <s v="TXN100611"/>
        <s v="TXN100612"/>
        <s v="TXN100613"/>
        <s v="TXN100614"/>
        <s v="TXN100615"/>
        <s v="TXN100616"/>
        <s v="TXN100617"/>
        <s v="TXN100618"/>
        <s v="TXN100619"/>
        <s v="TXN100620"/>
        <s v="TXN100621"/>
        <s v="TXN100622"/>
        <s v="TXN100623"/>
        <s v="TXN100624"/>
        <s v="TXN100625"/>
        <s v="TXN100626"/>
        <s v="TXN100627"/>
        <s v="TXN100628"/>
        <s v="TXN100629"/>
        <s v="TXN100630"/>
        <s v="TXN100631"/>
        <s v="TXN100632"/>
        <s v="TXN100633"/>
        <s v="TXN100634"/>
        <s v="TXN100635"/>
        <s v="TXN100636"/>
        <s v="TXN100637"/>
        <s v="TXN100638"/>
        <s v="TXN100639"/>
        <s v="TXN100640"/>
        <s v="TXN100641"/>
        <s v="TXN100642"/>
        <s v="TXN100643"/>
        <s v="TXN100644"/>
        <s v="TXN100645"/>
        <s v="TXN100646"/>
        <s v="TXN100647"/>
        <s v="TXN100648"/>
        <s v="TXN100649"/>
        <s v="TXN100650"/>
        <s v="TXN100651"/>
        <s v="TXN100652"/>
        <s v="TXN100653"/>
        <s v="TXN100654"/>
        <s v="TXN100655"/>
        <s v="TXN100656"/>
        <s v="TXN100657"/>
        <s v="TXN100658"/>
        <s v="TXN100659"/>
        <s v="TXN100660"/>
        <s v="TXN100661"/>
        <s v="TXN100662"/>
        <s v="TXN100663"/>
        <s v="TXN100664"/>
        <s v="TXN100665"/>
        <s v="TXN100666"/>
        <s v="TXN100667"/>
        <s v="TXN100668"/>
        <s v="TXN100669"/>
        <s v="TXN100670"/>
        <s v="TXN100671"/>
        <s v="TXN100672"/>
        <s v="TXN100673"/>
        <s v="TXN100674"/>
        <s v="TXN100675"/>
        <s v="TXN100676"/>
        <s v="TXN100677"/>
        <s v="TXN100678"/>
        <s v="TXN100679"/>
        <s v="TXN100680"/>
        <s v="TXN100681"/>
        <s v="TXN100682"/>
        <s v="TXN100683"/>
        <s v="TXN100684"/>
        <s v="TXN100685"/>
        <s v="TXN100686"/>
        <s v="TXN100687"/>
        <s v="TXN100688"/>
        <s v="TXN100689"/>
        <s v="TXN100690"/>
        <s v="TXN100691"/>
        <s v="TXN100692"/>
        <s v="TXN100693"/>
        <s v="TXN100694"/>
        <s v="TXN100695"/>
        <s v="TXN100696"/>
        <s v="TXN100697"/>
        <s v="TXN100698"/>
        <s v="TXN100699"/>
        <s v="TXN100700"/>
        <s v="TXN100701"/>
        <s v="TXN100702"/>
        <s v="TXN100703"/>
        <s v="TXN100704"/>
        <s v="TXN100705"/>
        <s v="TXN100706"/>
        <s v="TXN100707"/>
        <s v="TXN100708"/>
        <s v="TXN100709"/>
        <s v="TXN100710"/>
        <s v="TXN100711"/>
        <s v="TXN100712"/>
        <s v="TXN100713"/>
        <s v="TXN100714"/>
        <s v="TXN100715"/>
        <s v="TXN100716"/>
        <s v="TXN100717"/>
        <s v="TXN100718"/>
        <s v="TXN100719"/>
        <s v="TXN100720"/>
        <s v="TXN100721"/>
        <s v="TXN100722"/>
        <s v="TXN100723"/>
        <s v="TXN100724"/>
        <s v="TXN100725"/>
        <s v="TXN100726"/>
        <s v="TXN100727"/>
        <s v="TXN100728"/>
        <s v="TXN100729"/>
        <s v="TXN100730"/>
        <s v="TXN100731"/>
        <s v="TXN100732"/>
        <s v="TXN100733"/>
        <s v="TXN100734"/>
        <s v="TXN100735"/>
        <s v="TXN100736"/>
        <s v="TXN100737"/>
        <s v="TXN100738"/>
        <s v="TXN100739"/>
        <s v="TXN100740"/>
        <s v="TXN100741"/>
        <s v="TXN100742"/>
        <s v="TXN100743"/>
        <s v="TXN100744"/>
        <s v="TXN100745"/>
        <s v="TXN100746"/>
        <s v="TXN100747"/>
        <s v="TXN100748"/>
        <s v="TXN100749"/>
        <s v="TXN100750"/>
        <s v="TXN100751"/>
        <s v="TXN100752"/>
        <s v="TXN100753"/>
        <s v="TXN100754"/>
        <s v="TXN100755"/>
        <s v="TXN100756"/>
        <s v="TXN100757"/>
        <s v="TXN100758"/>
        <s v="TXN100759"/>
        <s v="TXN100760"/>
        <s v="TXN100761"/>
        <s v="TXN100762"/>
        <s v="TXN100763"/>
        <s v="TXN100764"/>
        <s v="TXN100765"/>
        <s v="TXN100766"/>
        <s v="TXN100767"/>
        <s v="TXN100768"/>
        <s v="TXN100769"/>
        <s v="TXN100770"/>
        <s v="TXN100771"/>
        <s v="TXN100772"/>
        <s v="TXN100773"/>
        <s v="TXN100774"/>
        <s v="TXN100775"/>
        <s v="TXN100776"/>
        <s v="TXN100777"/>
        <s v="TXN100778"/>
        <s v="TXN100779"/>
        <s v="TXN100780"/>
        <s v="TXN100781"/>
        <s v="TXN100782"/>
        <s v="TXN100783"/>
        <s v="TXN100784"/>
        <s v="TXN100785"/>
        <s v="TXN100786"/>
        <s v="TXN100787"/>
        <s v="TXN100788"/>
        <s v="TXN100789"/>
        <s v="TXN100790"/>
        <s v="TXN100791"/>
        <s v="TXN100792"/>
        <s v="TXN100793"/>
        <s v="TXN100794"/>
        <s v="TXN100795"/>
        <s v="TXN100796"/>
        <s v="TXN100797"/>
        <s v="TXN100798"/>
        <s v="TXN100799"/>
        <s v="TXN100800"/>
        <s v="TXN100801"/>
        <s v="TXN100802"/>
        <s v="TXN100803"/>
        <s v="TXN100804"/>
        <s v="TXN100805"/>
        <s v="TXN100806"/>
        <s v="TXN100807"/>
        <s v="TXN100808"/>
        <s v="TXN100809"/>
        <s v="TXN100810"/>
        <s v="TXN100811"/>
        <s v="TXN100812"/>
        <s v="TXN100813"/>
        <s v="TXN100814"/>
        <s v="TXN100815"/>
        <s v="TXN100816"/>
        <s v="TXN100817"/>
        <s v="TXN100818"/>
        <s v="TXN100819"/>
        <s v="TXN100820"/>
        <s v="TXN100821"/>
        <s v="TXN100822"/>
        <s v="TXN100823"/>
        <s v="TXN100824"/>
        <s v="TXN100825"/>
        <s v="TXN100826"/>
        <s v="TXN100827"/>
        <s v="TXN100828"/>
        <s v="TXN100829"/>
        <s v="TXN100830"/>
        <s v="TXN100831"/>
        <s v="TXN100832"/>
        <s v="TXN100833"/>
        <s v="TXN100834"/>
        <s v="TXN100835"/>
        <s v="TXN100836"/>
        <s v="TXN100837"/>
        <s v="TXN100838"/>
        <s v="TXN100839"/>
        <s v="TXN100840"/>
        <s v="TXN100841"/>
        <s v="TXN100842"/>
        <s v="TXN100843"/>
        <s v="TXN100844"/>
        <s v="TXN100845"/>
        <s v="TXN100846"/>
        <s v="TXN100847"/>
        <s v="TXN100848"/>
        <s v="TXN100849"/>
        <s v="TXN100850"/>
        <s v="TXN100851"/>
        <s v="TXN100852"/>
        <s v="TXN100853"/>
        <s v="TXN100854"/>
        <s v="TXN100855"/>
        <s v="TXN100856"/>
        <s v="TXN100857"/>
        <s v="TXN100858"/>
        <s v="TXN100859"/>
        <s v="TXN100860"/>
        <s v="TXN100861"/>
        <s v="TXN100862"/>
        <s v="TXN100863"/>
        <s v="TXN100864"/>
        <s v="TXN100865"/>
        <s v="TXN100866"/>
        <s v="TXN100867"/>
        <s v="TXN100868"/>
        <s v="TXN100869"/>
        <s v="TXN100870"/>
        <s v="TXN100871"/>
        <s v="TXN100872"/>
        <s v="TXN100873"/>
        <s v="TXN100874"/>
        <s v="TXN100875"/>
        <s v="TXN100876"/>
        <s v="TXN100877"/>
        <s v="TXN100878"/>
        <s v="TXN100879"/>
        <s v="TXN100880"/>
        <s v="TXN100881"/>
        <s v="TXN100882"/>
        <s v="TXN100883"/>
        <s v="TXN100884"/>
        <s v="TXN100885"/>
        <s v="TXN100886"/>
        <s v="TXN100887"/>
        <s v="TXN100888"/>
        <s v="TXN100889"/>
        <s v="TXN100890"/>
        <s v="TXN100891"/>
        <s v="TXN100892"/>
        <s v="TXN100893"/>
        <s v="TXN100894"/>
        <s v="TXN100895"/>
        <s v="TXN100896"/>
        <s v="TXN100897"/>
        <s v="TXN100898"/>
        <s v="TXN100899"/>
        <s v="TXN100900"/>
        <s v="TXN100901"/>
        <s v="TXN100902"/>
        <s v="TXN100903"/>
        <s v="TXN100904"/>
        <s v="TXN100905"/>
        <s v="TXN100906"/>
        <s v="TXN100907"/>
        <s v="TXN100908"/>
        <s v="TXN100909"/>
        <s v="TXN100910"/>
        <s v="TXN100911"/>
        <s v="TXN100912"/>
        <s v="TXN100913"/>
        <s v="TXN100914"/>
        <s v="TXN100915"/>
        <s v="TXN100916"/>
        <s v="TXN100917"/>
        <s v="TXN100918"/>
        <s v="TXN100919"/>
        <s v="TXN100920"/>
        <s v="TXN100921"/>
        <s v="TXN100922"/>
        <s v="TXN100923"/>
        <s v="TXN100924"/>
        <s v="TXN100925"/>
        <s v="TXN100926"/>
        <s v="TXN100927"/>
        <s v="TXN100928"/>
        <s v="TXN100929"/>
        <s v="TXN100930"/>
        <s v="TXN100931"/>
        <s v="TXN100932"/>
        <s v="TXN100933"/>
        <s v="TXN100934"/>
        <s v="TXN100935"/>
        <s v="TXN100936"/>
        <s v="TXN100937"/>
        <s v="TXN100938"/>
        <s v="TXN100939"/>
        <s v="TXN100940"/>
        <s v="TXN100941"/>
        <s v="TXN100942"/>
        <s v="TXN100943"/>
        <s v="TXN100944"/>
        <s v="TXN100945"/>
        <s v="TXN100946"/>
        <s v="TXN100947"/>
        <s v="TXN100948"/>
        <s v="TXN100949"/>
        <s v="TXN100950"/>
        <s v="TXN100951"/>
        <s v="TXN100952"/>
        <s v="TXN100953"/>
        <s v="TXN100954"/>
        <s v="TXN100955"/>
        <s v="TXN100956"/>
        <s v="TXN100957"/>
        <s v="TXN100958"/>
        <s v="TXN100959"/>
        <s v="TXN100960"/>
        <s v="TXN100961"/>
        <s v="TXN100962"/>
        <s v="TXN100963"/>
        <s v="TXN100964"/>
        <s v="TXN100965"/>
        <s v="TXN100966"/>
        <s v="TXN100967"/>
        <s v="TXN100968"/>
        <s v="TXN100969"/>
        <s v="TXN100970"/>
        <s v="TXN100971"/>
        <s v="TXN100972"/>
        <s v="TXN100973"/>
        <s v="TXN100974"/>
        <s v="TXN100975"/>
        <s v="TXN100976"/>
        <s v="TXN100977"/>
        <s v="TXN100978"/>
        <s v="TXN100979"/>
        <s v="TXN100980"/>
        <s v="TXN100981"/>
        <s v="TXN100982"/>
        <s v="TXN100983"/>
        <s v="TXN100984"/>
        <s v="TXN100985"/>
        <s v="TXN100986"/>
        <s v="TXN100987"/>
        <s v="TXN100988"/>
        <s v="TXN100989"/>
        <s v="TXN100990"/>
        <s v="TXN100991"/>
        <s v="TXN100992"/>
        <s v="TXN100993"/>
        <s v="TXN100994"/>
        <s v="TXN100995"/>
        <s v="TXN100996"/>
        <s v="TXN100997"/>
        <s v="TXN100998"/>
        <s v="TXN100999"/>
        <s v="TXN101000"/>
      </sharedItems>
    </cacheField>
    <cacheField name="Transaction_Date" numFmtId="180">
      <sharedItems containsSemiMixedTypes="0" containsString="0" containsNonDate="0" containsDate="1" minDate="2026-01-01T00:00:00" maxDate="2026-06-30T00:00:00" count="18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Transaction_Time" numFmtId="181">
      <sharedItems containsSemiMixedTypes="0" containsString="0" containsNonDate="0" containsDate="1" minDate="1899-12-30T00:00:00" maxDate="1899-12-30T23:59:00" count="728">
        <d v="1899-12-30T06:46:00"/>
        <d v="1899-12-30T19:00:00"/>
        <d v="1899-12-30T14:25:00"/>
        <d v="1899-12-30T10:13:00"/>
        <d v="1899-12-30T07:37:00"/>
        <d v="1899-12-30T20:36:00"/>
        <d v="1899-12-30T06:10:00"/>
        <d v="1899-12-30T18:35:00"/>
        <d v="1899-12-30T22:12:00"/>
        <d v="1899-12-30T10:42:00"/>
        <d v="1899-12-30T10:02:00"/>
        <d v="1899-12-30T23:32:00"/>
        <d v="1899-12-30T20:05:00"/>
        <d v="1899-12-30T03:49:00"/>
        <d v="1899-12-30T07:55:00"/>
        <d v="1899-12-30T23:09:00"/>
        <d v="1899-12-30T02:04:00"/>
        <d v="1899-12-30T21:22:00"/>
        <d v="1899-12-30T20:09:00"/>
        <d v="1899-12-30T01:43:00"/>
        <d v="1899-12-30T23:01:00"/>
        <d v="1899-12-30T11:12:00"/>
        <d v="1899-12-30T05:39:00"/>
        <d v="1899-12-30T01:01:00"/>
        <d v="1899-12-30T20:19:00"/>
        <d v="1899-12-30T00:00:00"/>
        <d v="1899-12-30T11:36:00"/>
        <d v="1899-12-30T21:08:00"/>
        <d v="1899-12-30T11:16:00"/>
        <d v="1899-12-30T16:08:00"/>
        <d v="1899-12-30T09:10:00"/>
        <d v="1899-12-30T15:14:00"/>
        <d v="1899-12-30T14:23:00"/>
        <d v="1899-12-30T14:37:00"/>
        <d v="1899-12-30T18:54:00"/>
        <d v="1899-12-30T11:34:00"/>
        <d v="1899-12-30T22:29:00"/>
        <d v="1899-12-30T19:30:00"/>
        <d v="1899-12-30T02:48:00"/>
        <d v="1899-12-30T04:04:00"/>
        <d v="1899-12-30T18:59:00"/>
        <d v="1899-12-30T06:43:00"/>
        <d v="1899-12-30T20:49:00"/>
        <d v="1899-12-30T08:13:00"/>
        <d v="1899-12-30T06:52:00"/>
        <d v="1899-12-30T17:55:00"/>
        <d v="1899-12-30T03:10:00"/>
        <d v="1899-12-30T13:08:00"/>
        <d v="1899-12-30T17:33:00"/>
        <d v="1899-12-30T08:11:00"/>
        <d v="1899-12-30T20:34:00"/>
        <d v="1899-12-30T01:34:00"/>
        <d v="1899-12-30T14:39:00"/>
        <d v="1899-12-30T06:21:00"/>
        <d v="1899-12-30T11:59:00"/>
        <d v="1899-12-30T07:28:00"/>
        <d v="1899-12-30T14:07:00"/>
        <d v="1899-12-30T02:10:00"/>
        <d v="1899-12-30T13:40:00"/>
        <d v="1899-12-30T16:36:00"/>
        <d v="1899-12-30T03:13:00"/>
        <d v="1899-12-30T17:59:00"/>
        <d v="1899-12-30T07:29:00"/>
        <d v="1899-12-30T03:34:00"/>
        <d v="1899-12-30T01:20:00"/>
        <d v="1899-12-30T05:36:00"/>
        <d v="1899-12-30T21:04:00"/>
        <d v="1899-12-30T09:18:00"/>
        <d v="1899-12-30T03:58:00"/>
        <d v="1899-12-30T21:13:00"/>
        <d v="1899-12-30T17:25:00"/>
        <d v="1899-12-30T11:03:00"/>
        <d v="1899-12-30T01:24:00"/>
        <d v="1899-12-30T09:44:00"/>
        <d v="1899-12-30T03:41:00"/>
        <d v="1899-12-30T13:24:00"/>
        <d v="1899-12-30T15:17:00"/>
        <d v="1899-12-30T07:07:00"/>
        <d v="1899-12-30T13:38:00"/>
        <d v="1899-12-30T22:39:00"/>
        <d v="1899-12-30T07:13:00"/>
        <d v="1899-12-30T20:31:00"/>
        <d v="1899-12-30T15:50:00"/>
        <d v="1899-12-30T12:37:00"/>
        <d v="1899-12-30T17:32:00"/>
        <d v="1899-12-30T14:22:00"/>
        <d v="1899-12-30T20:14:00"/>
        <d v="1899-12-30T12:24:00"/>
        <d v="1899-12-30T08:16:00"/>
        <d v="1899-12-30T14:32:00"/>
        <d v="1899-12-30T12:46:00"/>
        <d v="1899-12-30T00:54:00"/>
        <d v="1899-12-30T06:01:00"/>
        <d v="1899-12-30T23:52:00"/>
        <d v="1899-12-30T00:39:00"/>
        <d v="1899-12-30T11:39:00"/>
        <d v="1899-12-30T07:50:00"/>
        <d v="1899-12-30T23:38:00"/>
        <d v="1899-12-30T10:50:00"/>
        <d v="1899-12-30T18:05:00"/>
        <d v="1899-12-30T16:05:00"/>
        <d v="1899-12-30T07:02:00"/>
        <d v="1899-12-30T02:06:00"/>
        <d v="1899-12-30T02:50:00"/>
        <d v="1899-12-30T00:07:00"/>
        <d v="1899-12-30T04:41:00"/>
        <d v="1899-12-30T09:51:00"/>
        <d v="1899-12-30T06:14:00"/>
        <d v="1899-12-30T08:46:00"/>
        <d v="1899-12-30T06:28:00"/>
        <d v="1899-12-30T08:32:00"/>
        <d v="1899-12-30T07:51:00"/>
        <d v="1899-12-30T11:29:00"/>
        <d v="1899-12-30T01:38:00"/>
        <d v="1899-12-30T00:26:00"/>
        <d v="1899-12-30T15:35:00"/>
        <d v="1899-12-30T22:28:00"/>
        <d v="1899-12-30T22:37:00"/>
        <d v="1899-12-30T23:56:00"/>
        <d v="1899-12-30T04:32:00"/>
        <d v="1899-12-30T02:36:00"/>
        <d v="1899-12-30T11:26:00"/>
        <d v="1899-12-30T07:54:00"/>
        <d v="1899-12-30T21:32:00"/>
        <d v="1899-12-30T02:03:00"/>
        <d v="1899-12-30T00:21:00"/>
        <d v="1899-12-30T02:01:00"/>
        <d v="1899-12-30T04:09:00"/>
        <d v="1899-12-30T14:04:00"/>
        <d v="1899-12-30T13:58:00"/>
        <d v="1899-12-30T02:09:00"/>
        <d v="1899-12-30T00:32:00"/>
        <d v="1899-12-30T04:53:00"/>
        <d v="1899-12-30T13:12:00"/>
        <d v="1899-12-30T06:30:00"/>
        <d v="1899-12-30T14:35:00"/>
        <d v="1899-12-30T14:44:00"/>
        <d v="1899-12-30T09:23:00"/>
        <d v="1899-12-30T12:51:00"/>
        <d v="1899-12-30T18:55:00"/>
        <d v="1899-12-30T16:28:00"/>
        <d v="1899-12-30T19:07:00"/>
        <d v="1899-12-30T03:04:00"/>
        <d v="1899-12-30T04:28:00"/>
        <d v="1899-12-30T22:46:00"/>
        <d v="1899-12-30T06:03:00"/>
        <d v="1899-12-30T12:11:00"/>
        <d v="1899-12-30T10:01:00"/>
        <d v="1899-12-30T03:26:00"/>
        <d v="1899-12-30T12:30:00"/>
        <d v="1899-12-30T06:50:00"/>
        <d v="1899-12-30T18:50:00"/>
        <d v="1899-12-30T21:35:00"/>
        <d v="1899-12-30T01:35:00"/>
        <d v="1899-12-30T09:25:00"/>
        <d v="1899-12-30T12:42:00"/>
        <d v="1899-12-30T20:26:00"/>
        <d v="1899-12-30T05:04:00"/>
        <d v="1899-12-30T11:19:00"/>
        <d v="1899-12-30T11:10:00"/>
        <d v="1899-12-30T19:09:00"/>
        <d v="1899-12-30T10:39:00"/>
        <d v="1899-12-30T06:05:00"/>
        <d v="1899-12-30T00:22:00"/>
        <d v="1899-12-30T19:46:00"/>
        <d v="1899-12-30T12:25:00"/>
        <d v="1899-12-30T08:45:00"/>
        <d v="1899-12-30T02:42:00"/>
        <d v="1899-12-30T06:11:00"/>
        <d v="1899-12-30T05:25:00"/>
        <d v="1899-12-30T07:12:00"/>
        <d v="1899-12-30T08:39:00"/>
        <d v="1899-12-30T04:17:00"/>
        <d v="1899-12-30T00:24:00"/>
        <d v="1899-12-30T18:32:00"/>
        <d v="1899-12-30T09:46:00"/>
        <d v="1899-12-30T23:59:00"/>
        <d v="1899-12-30T14:42:00"/>
        <d v="1899-12-30T21:11:00"/>
        <d v="1899-12-30T23:43:00"/>
        <d v="1899-12-30T08:35:00"/>
        <d v="1899-12-30T19:47:00"/>
        <d v="1899-12-30T16:03:00"/>
        <d v="1899-12-30T16:04:00"/>
        <d v="1899-12-30T19:55:00"/>
        <d v="1899-12-30T06:07:00"/>
        <d v="1899-12-30T01:41:00"/>
        <d v="1899-12-30T16:27:00"/>
        <d v="1899-12-30T04:30:00"/>
        <d v="1899-12-30T16:57:00"/>
        <d v="1899-12-30T23:08:00"/>
        <d v="1899-12-30T16:53:00"/>
        <d v="1899-12-30T16:50:00"/>
        <d v="1899-12-30T01:28:00"/>
        <d v="1899-12-30T01:13:00"/>
        <d v="1899-12-30T21:39:00"/>
        <d v="1899-12-30T22:40:00"/>
        <d v="1899-12-30T04:21:00"/>
        <d v="1899-12-30T00:10:00"/>
        <d v="1899-12-30T18:00:00"/>
        <d v="1899-12-30T01:45:00"/>
        <d v="1899-12-30T11:20:00"/>
        <d v="1899-12-30T22:45:00"/>
        <d v="1899-12-30T03:35:00"/>
        <d v="1899-12-30T22:53:00"/>
        <d v="1899-12-30T10:22:00"/>
        <d v="1899-12-30T16:00:00"/>
        <d v="1899-12-30T05:53:00"/>
        <d v="1899-12-30T23:54:00"/>
        <d v="1899-12-30T04:50:00"/>
        <d v="1899-12-30T19:39:00"/>
        <d v="1899-12-30T01:14:00"/>
        <d v="1899-12-30T05:20:00"/>
        <d v="1899-12-30T21:46:00"/>
        <d v="1899-12-30T10:08:00"/>
        <d v="1899-12-30T15:52:00"/>
        <d v="1899-12-30T15:08:00"/>
        <d v="1899-12-30T00:09:00"/>
        <d v="1899-12-30T08:51:00"/>
        <d v="1899-12-30T05:56:00"/>
        <d v="1899-12-30T02:25:00"/>
        <d v="1899-12-30T19:40:00"/>
        <d v="1899-12-30T18:51:00"/>
        <d v="1899-12-30T02:24:00"/>
        <d v="1899-12-30T18:25:00"/>
        <d v="1899-12-30T19:10:00"/>
        <d v="1899-12-30T06:37:00"/>
        <d v="1899-12-30T19:01:00"/>
        <d v="1899-12-30T08:06:00"/>
        <d v="1899-12-30T00:17:00"/>
        <d v="1899-12-30T07:26:00"/>
        <d v="1899-12-30T06:33:00"/>
        <d v="1899-12-30T17:26:00"/>
        <d v="1899-12-30T07:16:00"/>
        <d v="1899-12-30T00:42:00"/>
        <d v="1899-12-30T10:58:00"/>
        <d v="1899-12-30T17:43:00"/>
        <d v="1899-12-30T22:58:00"/>
        <d v="1899-12-30T09:50:00"/>
        <d v="1899-12-30T02:53:00"/>
        <d v="1899-12-30T06:23:00"/>
        <d v="1899-12-30T15:24:00"/>
        <d v="1899-12-30T15:06:00"/>
        <d v="1899-12-30T19:51:00"/>
        <d v="1899-12-30T01:52:00"/>
        <d v="1899-12-30T00:23:00"/>
        <d v="1899-12-30T15:32:00"/>
        <d v="1899-12-30T11:48:00"/>
        <d v="1899-12-30T04:42:00"/>
        <d v="1899-12-30T22:21:00"/>
        <d v="1899-12-30T08:25:00"/>
        <d v="1899-12-30T08:27:00"/>
        <d v="1899-12-30T02:49:00"/>
        <d v="1899-12-30T18:20:00"/>
        <d v="1899-12-30T15:48:00"/>
        <d v="1899-12-30T02:16:00"/>
        <d v="1899-12-30T19:19:00"/>
        <d v="1899-12-30T23:40:00"/>
        <d v="1899-12-30T21:48:00"/>
        <d v="1899-12-30T23:19:00"/>
        <d v="1899-12-30T00:53:00"/>
        <d v="1899-12-30T23:21:00"/>
        <d v="1899-12-30T19:27:00"/>
        <d v="1899-12-30T16:48:00"/>
        <d v="1899-12-30T07:06:00"/>
        <d v="1899-12-30T03:00:00"/>
        <d v="1899-12-30T05:31:00"/>
        <d v="1899-12-30T19:29:00"/>
        <d v="1899-12-30T02:22:00"/>
        <d v="1899-12-30T02:58:00"/>
        <d v="1899-12-30T13:18:00"/>
        <d v="1899-12-30T17:31:00"/>
        <d v="1899-12-30T01:29:00"/>
        <d v="1899-12-30T21:28:00"/>
        <d v="1899-12-30T15:44:00"/>
        <d v="1899-12-30T08:28:00"/>
        <d v="1899-12-30T03:29:00"/>
        <d v="1899-12-30T00:15:00"/>
        <d v="1899-12-30T03:39:00"/>
        <d v="1899-12-30T00:18:00"/>
        <d v="1899-12-30T13:17:00"/>
        <d v="1899-12-30T20:00:00"/>
        <d v="1899-12-30T15:13:00"/>
        <d v="1899-12-30T19:50:00"/>
        <d v="1899-12-30T23:46:00"/>
        <d v="1899-12-30T07:49:00"/>
        <d v="1899-12-30T00:48:00"/>
        <d v="1899-12-30T15:49:00"/>
        <d v="1899-12-30T18:37:00"/>
        <d v="1899-12-30T21:50:00"/>
        <d v="1899-12-30T22:03:00"/>
        <d v="1899-12-30T21:00:00"/>
        <d v="1899-12-30T13:07:00"/>
        <d v="1899-12-30T05:28:00"/>
        <d v="1899-12-30T05:54:00"/>
        <d v="1899-12-30T12:38:00"/>
        <d v="1899-12-30T18:02:00"/>
        <d v="1899-12-30T21:31:00"/>
        <d v="1899-12-30T07:09:00"/>
        <d v="1899-12-30T01:09:00"/>
        <d v="1899-12-30T20:18:00"/>
        <d v="1899-12-30T00:45:00"/>
        <d v="1899-12-30T14:33:00"/>
        <d v="1899-12-30T00:59:00"/>
        <d v="1899-12-30T15:22:00"/>
        <d v="1899-12-30T03:27:00"/>
        <d v="1899-12-30T02:31:00"/>
        <d v="1899-12-30T16:49:00"/>
        <d v="1899-12-30T16:06:00"/>
        <d v="1899-12-30T11:28:00"/>
        <d v="1899-12-30T02:54:00"/>
        <d v="1899-12-30T08:02:00"/>
        <d v="1899-12-30T04:23:00"/>
        <d v="1899-12-30T23:22:00"/>
        <d v="1899-12-30T16:58:00"/>
        <d v="1899-12-30T20:53:00"/>
        <d v="1899-12-30T02:56:00"/>
        <d v="1899-12-30T00:46:00"/>
        <d v="1899-12-30T19:36:00"/>
        <d v="1899-12-30T20:02:00"/>
        <d v="1899-12-30T22:50:00"/>
        <d v="1899-12-30T02:27:00"/>
        <d v="1899-12-30T17:46:00"/>
        <d v="1899-12-30T09:07:00"/>
        <d v="1899-12-30T21:33:00"/>
        <d v="1899-12-30T02:34:00"/>
        <d v="1899-12-30T07:31:00"/>
        <d v="1899-12-30T13:23:00"/>
        <d v="1899-12-30T23:13:00"/>
        <d v="1899-12-30T14:55:00"/>
        <d v="1899-12-30T21:45:00"/>
        <d v="1899-12-30T22:42:00"/>
        <d v="1899-12-30T01:15:00"/>
        <d v="1899-12-30T09:03:00"/>
        <d v="1899-12-30T01:51:00"/>
        <d v="1899-12-30T07:53:00"/>
        <d v="1899-12-30T00:20:00"/>
        <d v="1899-12-30T10:30:00"/>
        <d v="1899-12-30T21:54:00"/>
        <d v="1899-12-30T15:47:00"/>
        <d v="1899-12-30T06:17:00"/>
        <d v="1899-12-30T09:06:00"/>
        <d v="1899-12-30T22:09:00"/>
        <d v="1899-12-30T12:20:00"/>
        <d v="1899-12-30T06:18:00"/>
        <d v="1899-12-30T03:47:00"/>
        <d v="1899-12-30T12:18:00"/>
        <d v="1899-12-30T19:35:00"/>
        <d v="1899-12-30T00:28:00"/>
        <d v="1899-12-30T07:59:00"/>
        <d v="1899-12-30T15:01:00"/>
        <d v="1899-12-30T13:00:00"/>
        <d v="1899-12-30T11:46:00"/>
        <d v="1899-12-30T18:04:00"/>
        <d v="1899-12-30T22:19:00"/>
        <d v="1899-12-30T14:10:00"/>
        <d v="1899-12-30T22:02:00"/>
        <d v="1899-12-30T21:19:00"/>
        <d v="1899-12-30T09:37:00"/>
        <d v="1899-12-30T05:29:00"/>
        <d v="1899-12-30T14:08:00"/>
        <d v="1899-12-30T10:52:00"/>
        <d v="1899-12-30T04:43:00"/>
        <d v="1899-12-30T00:34:00"/>
        <d v="1899-12-30T20:57:00"/>
        <d v="1899-12-30T11:21:00"/>
        <d v="1899-12-30T11:43:00"/>
        <d v="1899-12-30T06:16:00"/>
        <d v="1899-12-30T03:09:00"/>
        <d v="1899-12-30T12:55:00"/>
        <d v="1899-12-30T19:58:00"/>
        <d v="1899-12-30T14:45:00"/>
        <d v="1899-12-30T22:31:00"/>
        <d v="1899-12-30T19:49:00"/>
        <d v="1899-12-30T12:16:00"/>
        <d v="1899-12-30T17:13:00"/>
        <d v="1899-12-30T09:08:00"/>
        <d v="1899-12-30T18:39:00"/>
        <d v="1899-12-30T16:01:00"/>
        <d v="1899-12-30T23:44:00"/>
        <d v="1899-12-30T18:24:00"/>
        <d v="1899-12-30T22:38:00"/>
        <d v="1899-12-30T04:08:00"/>
        <d v="1899-12-30T08:42:00"/>
        <d v="1899-12-30T11:45:00"/>
        <d v="1899-12-30T20:03:00"/>
        <d v="1899-12-30T00:25:00"/>
        <d v="1899-12-30T00:57:00"/>
        <d v="1899-12-30T14:28:00"/>
        <d v="1899-12-30T01:44:00"/>
        <d v="1899-12-30T07:36:00"/>
        <d v="1899-12-30T12:10:00"/>
        <d v="1899-12-30T15:20:00"/>
        <d v="1899-12-30T06:41:00"/>
        <d v="1899-12-30T04:35:00"/>
        <d v="1899-12-30T21:40:00"/>
        <d v="1899-12-30T02:33:00"/>
        <d v="1899-12-30T15:36:00"/>
        <d v="1899-12-30T04:37:00"/>
        <d v="1899-12-30T21:57:00"/>
        <d v="1899-12-30T13:11:00"/>
        <d v="1899-12-30T04:22:00"/>
        <d v="1899-12-30T14:52:00"/>
        <d v="1899-12-30T16:41:00"/>
        <d v="1899-12-30T13:21:00"/>
        <d v="1899-12-30T19:20:00"/>
        <d v="1899-12-30T04:26:00"/>
        <d v="1899-12-30T11:56:00"/>
        <d v="1899-12-30T15:30:00"/>
        <d v="1899-12-30T15:05:00"/>
        <d v="1899-12-30T06:39:00"/>
        <d v="1899-12-30T03:33:00"/>
        <d v="1899-12-30T00:11:00"/>
        <d v="1899-12-30T04:44:00"/>
        <d v="1899-12-30T22:56:00"/>
        <d v="1899-12-30T09:52:00"/>
        <d v="1899-12-30T21:06:00"/>
        <d v="1899-12-30T03:44:00"/>
        <d v="1899-12-30T01:16:00"/>
        <d v="1899-12-30T19:25:00"/>
        <d v="1899-12-30T09:20:00"/>
        <d v="1899-12-30T18:27:00"/>
        <d v="1899-12-30T23:45:00"/>
        <d v="1899-12-30T04:01:00"/>
        <d v="1899-12-30T12:59:00"/>
        <d v="1899-12-30T03:53:00"/>
        <d v="1899-12-30T15:42:00"/>
        <d v="1899-12-30T23:00:00"/>
        <d v="1899-12-30T22:52:00"/>
        <d v="1899-12-30T23:28:00"/>
        <d v="1899-12-30T17:10:00"/>
        <d v="1899-12-30T02:39:00"/>
        <d v="1899-12-30T00:35:00"/>
        <d v="1899-12-30T18:48:00"/>
        <d v="1899-12-30T04:38:00"/>
        <d v="1899-12-30T00:33:00"/>
        <d v="1899-12-30T10:23:00"/>
        <d v="1899-12-30T11:53:00"/>
        <d v="1899-12-30T12:21:00"/>
        <d v="1899-12-30T11:04:00"/>
        <d v="1899-12-30T13:55:00"/>
        <d v="1899-12-30T01:32:00"/>
        <d v="1899-12-30T18:57:00"/>
        <d v="1899-12-30T17:35:00"/>
        <d v="1899-12-30T02:46:00"/>
        <d v="1899-12-30T16:18:00"/>
        <d v="1899-12-30T07:34:00"/>
        <d v="1899-12-30T01:42:00"/>
        <d v="1899-12-30T18:16:00"/>
        <d v="1899-12-30T08:58:00"/>
        <d v="1899-12-30T06:44:00"/>
        <d v="1899-12-30T03:42:00"/>
        <d v="1899-12-30T20:33:00"/>
        <d v="1899-12-30T17:08:00"/>
        <d v="1899-12-30T03:08:00"/>
        <d v="1899-12-30T20:08:00"/>
        <d v="1899-12-30T09:16:00"/>
        <d v="1899-12-30T04:00:00"/>
        <d v="1899-12-30T08:24:00"/>
        <d v="1899-12-30T23:42:00"/>
        <d v="1899-12-30T15:38:00"/>
        <d v="1899-12-30T17:02:00"/>
        <d v="1899-12-30T06:36:00"/>
        <d v="1899-12-30T22:43:00"/>
        <d v="1899-12-30T16:37:00"/>
        <d v="1899-12-30T22:33:00"/>
        <d v="1899-12-30T22:18:00"/>
        <d v="1899-12-30T08:43:00"/>
        <d v="1899-12-30T19:48:00"/>
        <d v="1899-12-30T15:16:00"/>
        <d v="1899-12-30T21:09:00"/>
        <d v="1899-12-30T12:56:00"/>
        <d v="1899-12-30T03:46:00"/>
        <d v="1899-12-30T11:11:00"/>
        <d v="1899-12-30T08:15:00"/>
        <d v="1899-12-30T18:23:00"/>
        <d v="1899-12-30T11:18:00"/>
        <d v="1899-12-30T08:07:00"/>
        <d v="1899-12-30T13:20:00"/>
        <d v="1899-12-30T19:16:00"/>
        <d v="1899-12-30T18:22:00"/>
        <d v="1899-12-30T14:36:00"/>
        <d v="1899-12-30T15:53:00"/>
        <d v="1899-12-30T20:15:00"/>
        <d v="1899-12-30T04:05:00"/>
        <d v="1899-12-30T02:07:00"/>
        <d v="1899-12-30T11:24:00"/>
        <d v="1899-12-30T19:17:00"/>
        <d v="1899-12-30T20:24:00"/>
        <d v="1899-12-30T03:11:00"/>
        <d v="1899-12-30T15:25:00"/>
        <d v="1899-12-30T06:40:00"/>
        <d v="1899-12-30T12:44:00"/>
        <d v="1899-12-30T20:25:00"/>
        <d v="1899-12-30T06:31:00"/>
        <d v="1899-12-30T13:09:00"/>
        <d v="1899-12-30T04:15:00"/>
        <d v="1899-12-30T22:16:00"/>
        <d v="1899-12-30T10:25:00"/>
        <d v="1899-12-30T17:20:00"/>
        <d v="1899-12-30T14:21:00"/>
        <d v="1899-12-30T11:57:00"/>
        <d v="1899-12-30T09:13:00"/>
        <d v="1899-12-30T11:14:00"/>
        <d v="1899-12-30T16:52:00"/>
        <d v="1899-12-30T05:06:00"/>
        <d v="1899-12-30T06:08:00"/>
        <d v="1899-12-30T13:50:00"/>
        <d v="1899-12-30T12:47:00"/>
        <d v="1899-12-30T09:49:00"/>
        <d v="1899-12-30T17:22:00"/>
        <d v="1899-12-30T07:38:00"/>
        <d v="1899-12-30T15:34:00"/>
        <d v="1899-12-30T12:17:00"/>
        <d v="1899-12-30T00:58:00"/>
        <d v="1899-12-30T21:41:00"/>
        <d v="1899-12-30T19:38:00"/>
        <d v="1899-12-30T16:16:00"/>
        <d v="1899-12-30T06:13:00"/>
        <d v="1899-12-30T03:23:00"/>
        <d v="1899-12-30T05:43:00"/>
        <d v="1899-12-30T11:44:00"/>
        <d v="1899-12-30T06:02:00"/>
        <d v="1899-12-30T09:36:00"/>
        <d v="1899-12-30T18:42:00"/>
        <d v="1899-12-30T12:54:00"/>
        <d v="1899-12-30T12:22:00"/>
        <d v="1899-12-30T07:14:00"/>
        <d v="1899-12-30T08:55:00"/>
        <d v="1899-12-30T06:48:00"/>
        <d v="1899-12-30T00:03:00"/>
        <d v="1899-12-30T02:28:00"/>
        <d v="1899-12-30T16:24:00"/>
        <d v="1899-12-30T23:12:00"/>
        <d v="1899-12-30T05:32:00"/>
        <d v="1899-12-30T05:44:00"/>
        <d v="1899-12-30T11:41:00"/>
        <d v="1899-12-30T12:43:00"/>
        <d v="1899-12-30T12:01:00"/>
        <d v="1899-12-30T14:54:00"/>
        <d v="1899-12-30T15:41:00"/>
        <d v="1899-12-30T20:29:00"/>
        <d v="1899-12-30T04:54:00"/>
        <d v="1899-12-30T03:12:00"/>
        <d v="1899-12-30T02:12:00"/>
        <d v="1899-12-30T18:17:00"/>
        <d v="1899-12-30T19:31:00"/>
        <d v="1899-12-30T14:34:00"/>
        <d v="1899-12-30T16:38:00"/>
        <d v="1899-12-30T13:45:00"/>
        <d v="1899-12-30T14:51:00"/>
        <d v="1899-12-30T20:48:00"/>
        <d v="1899-12-30T21:52:00"/>
        <d v="1899-12-30T02:43:00"/>
        <d v="1899-12-30T15:56:00"/>
        <d v="1899-12-30T22:15:00"/>
        <d v="1899-12-30T10:55:00"/>
        <d v="1899-12-30T07:04:00"/>
        <d v="1899-12-30T17:48:00"/>
        <d v="1899-12-30T04:02:00"/>
        <d v="1899-12-30T08:44:00"/>
        <d v="1899-12-30T21:55:00"/>
        <d v="1899-12-30T16:29:00"/>
        <d v="1899-12-30T08:49:00"/>
        <d v="1899-12-30T20:17:00"/>
        <d v="1899-12-30T12:00:00"/>
        <d v="1899-12-30T13:52:00"/>
        <d v="1899-12-30T02:45:00"/>
        <d v="1899-12-30T05:14:00"/>
        <d v="1899-12-30T18:14:00"/>
        <d v="1899-12-30T04:48:00"/>
        <d v="1899-12-30T14:56:00"/>
        <d v="1899-12-30T01:23:00"/>
        <d v="1899-12-30T23:11:00"/>
        <d v="1899-12-30T17:58:00"/>
        <d v="1899-12-30T12:57:00"/>
        <d v="1899-12-30T04:36:00"/>
        <d v="1899-12-30T22:36:00"/>
        <d v="1899-12-30T21:05:00"/>
        <d v="1899-12-30T00:38:00"/>
        <d v="1899-12-30T16:23:00"/>
        <d v="1899-12-30T10:10:00"/>
        <d v="1899-12-30T20:12:00"/>
        <d v="1899-12-30T12:06:00"/>
        <d v="1899-12-30T00:51:00"/>
        <d v="1899-12-30T01:03:00"/>
        <d v="1899-12-30T00:19:00"/>
        <d v="1899-12-30T20:28:00"/>
        <d v="1899-12-30T05:50:00"/>
        <d v="1899-12-30T16:44:00"/>
        <d v="1899-12-30T04:45:00"/>
        <d v="1899-12-30T05:42:00"/>
        <d v="1899-12-30T20:56:00"/>
        <d v="1899-12-30T22:25:00"/>
        <d v="1899-12-30T04:40:00"/>
        <d v="1899-12-30T04:57:00"/>
        <d v="1899-12-30T09:02:00"/>
        <d v="1899-12-30T09:55:00"/>
        <d v="1899-12-30T20:04:00"/>
        <d v="1899-12-30T13:53:00"/>
        <d v="1899-12-30T13:22:00"/>
        <d v="1899-12-30T18:08:00"/>
        <d v="1899-12-30T12:34:00"/>
        <d v="1899-12-30T12:19:00"/>
        <d v="1899-12-30T03:57:00"/>
        <d v="1899-12-30T07:41:00"/>
        <d v="1899-12-30T21:23:00"/>
        <d v="1899-12-30T21:02:00"/>
        <d v="1899-12-30T17:34:00"/>
        <d v="1899-12-30T11:37:00"/>
        <d v="1899-12-30T00:12:00"/>
        <d v="1899-12-30T04:24:00"/>
        <d v="1899-12-30T15:03:00"/>
        <d v="1899-12-30T14:13:00"/>
        <d v="1899-12-30T04:10:00"/>
        <d v="1899-12-30T20:40:00"/>
        <d v="1899-12-30T01:02:00"/>
        <d v="1899-12-30T05:08:00"/>
        <d v="1899-12-30T05:24:00"/>
        <d v="1899-12-30T01:11:00"/>
        <d v="1899-12-30T17:41:00"/>
        <d v="1899-12-30T01:39:00"/>
        <d v="1899-12-30T19:24:00"/>
        <d v="1899-12-30T23:58:00"/>
        <d v="1899-12-30T22:23:00"/>
        <d v="1899-12-30T09:59:00"/>
        <d v="1899-12-30T04:07:00"/>
        <d v="1899-12-30T09:04:00"/>
        <d v="1899-12-30T23:47:00"/>
        <d v="1899-12-30T16:25:00"/>
        <d v="1899-12-30T09:17:00"/>
        <d v="1899-12-30T04:47:00"/>
        <d v="1899-12-30T01:12:00"/>
        <d v="1899-12-30T05:27:00"/>
        <d v="1899-12-30T10:49:00"/>
        <d v="1899-12-30T10:31:00"/>
        <d v="1899-12-30T18:28:00"/>
        <d v="1899-12-30T14:50:00"/>
        <d v="1899-12-30T22:57:00"/>
        <d v="1899-12-30T15:55:00"/>
        <d v="1899-12-30T15:39:00"/>
        <d v="1899-12-30T07:44:00"/>
        <d v="1899-12-30T03:32:00"/>
        <d v="1899-12-30T23:05:00"/>
        <d v="1899-12-30T02:23:00"/>
        <d v="1899-12-30T02:18:00"/>
        <d v="1899-12-30T17:15:00"/>
        <d v="1899-12-30T20:32:00"/>
        <d v="1899-12-30T04:58:00"/>
        <d v="1899-12-30T09:47:00"/>
        <d v="1899-12-30T00:44:00"/>
        <d v="1899-12-30T08:52:00"/>
        <d v="1899-12-30T13:35:00"/>
        <d v="1899-12-30T01:26:00"/>
        <d v="1899-12-30T13:59:00"/>
        <d v="1899-12-30T08:04:00"/>
        <d v="1899-12-30T21:44:00"/>
        <d v="1899-12-30T14:57:00"/>
        <d v="1899-12-30T16:22:00"/>
        <d v="1899-12-30T16:42:00"/>
        <d v="1899-12-30T02:52:00"/>
        <d v="1899-12-30T14:38:00"/>
        <d v="1899-12-30T14:30:00"/>
        <d v="1899-12-30T23:17:00"/>
        <d v="1899-12-30T13:01:00"/>
        <d v="1899-12-30T22:13:00"/>
        <d v="1899-12-30T23:31:00"/>
        <d v="1899-12-30T18:12:00"/>
        <d v="1899-12-30T06:45:00"/>
        <d v="1899-12-30T02:26:00"/>
        <d v="1899-12-30T14:48:00"/>
        <d v="1899-12-30T13:16:00"/>
        <d v="1899-12-30T12:33:00"/>
        <d v="1899-12-30T05:23:00"/>
        <d v="1899-12-30T02:44:00"/>
        <d v="1899-12-30T18:34:00"/>
        <d v="1899-12-30T14:47:00"/>
        <d v="1899-12-30T22:05:00"/>
        <d v="1899-12-30T04:18:00"/>
        <d v="1899-12-30T09:29:00"/>
        <d v="1899-12-30T06:06:00"/>
        <d v="1899-12-30T16:09:00"/>
        <d v="1899-12-30T11:33:00"/>
        <d v="1899-12-30T19:14:00"/>
        <d v="1899-12-30T08:21:00"/>
        <d v="1899-12-30T12:03:00"/>
        <d v="1899-12-30T17:19:00"/>
        <d v="1899-12-30T14:31:00"/>
        <d v="1899-12-30T14:49:00"/>
        <d v="1899-12-30T21:03:00"/>
        <d v="1899-12-30T14:16:00"/>
        <d v="1899-12-30T07:11:00"/>
        <d v="1899-12-30T07:21:00"/>
        <d v="1899-12-30T11:09:00"/>
        <d v="1899-12-30T18:53:00"/>
        <d v="1899-12-30T09:00:00"/>
        <d v="1899-12-30T04:25:00"/>
        <d v="1899-12-30T05:55:00"/>
        <d v="1899-12-30T01:17:00"/>
        <d v="1899-12-30T23:49:00"/>
        <d v="1899-12-30T12:13:00"/>
        <d v="1899-12-30T05:46:00"/>
        <d v="1899-12-30T20:35:00"/>
        <d v="1899-12-30T21:58:00"/>
        <d v="1899-12-30T05:51:00"/>
        <d v="1899-12-30T05:11:00"/>
        <d v="1899-12-30T22:06:00"/>
        <d v="1899-12-30T15:28:00"/>
        <d v="1899-12-30T10:32:00"/>
        <d v="1899-12-30T08:14:00"/>
        <d v="1899-12-30T18:10:00"/>
        <d v="1899-12-30T07:57:00"/>
        <d v="1899-12-30T03:25:00"/>
        <d v="1899-12-30T23:33:00"/>
        <d v="1899-12-30T05:45:00"/>
        <d v="1899-12-30T01:33:00"/>
        <d v="1899-12-30T19:28:00"/>
        <d v="1899-12-30T10:03:00"/>
        <d v="1899-12-30T03:16:00"/>
        <d v="1899-12-30T05:12:00"/>
        <d v="1899-12-30T23:14:00"/>
        <d v="1899-12-30T10:51:00"/>
        <d v="1899-12-30T18:01:00"/>
        <d v="1899-12-30T11:13:00"/>
        <d v="1899-12-30T04:19:00"/>
        <d v="1899-12-30T05:21:00"/>
        <d v="1899-12-30T21:10:00"/>
        <d v="1899-12-30T00:43:00"/>
      </sharedItems>
    </cacheField>
    <cacheField name="Customer_ID" numFmtId="0">
      <sharedItems count="199">
        <s v="CUST1051"/>
        <s v="CUST1106"/>
        <s v="CUST1112"/>
        <s v="CUST1197"/>
        <s v="CUST1169"/>
        <s v="CUST1072"/>
        <s v="CUST1139"/>
        <s v="CUST1080"/>
        <s v="CUST1180"/>
        <s v="CUST1151"/>
        <s v="CUST1049"/>
        <s v="CUST1166"/>
        <s v="CUST1047"/>
        <s v="CUST1007"/>
        <s v="CUST1066"/>
        <s v="CUST1077"/>
        <s v="CUST1062"/>
        <s v="CUST1157"/>
        <s v="CUST1038"/>
        <s v="CUST1125"/>
        <s v="CUST1084"/>
        <s v="CUST1161"/>
        <s v="CUST1029"/>
        <s v="CUST1114"/>
        <s v="CUST1079"/>
        <s v="CUST1023"/>
        <s v="CUST1131"/>
        <s v="CUST1101"/>
        <s v="CUST1173"/>
        <s v="CUST1008"/>
        <s v="CUST1086"/>
        <s v="CUST1117"/>
        <s v="CUST1002"/>
        <s v="CUST1113"/>
        <s v="CUST1178"/>
        <s v="CUST1065"/>
        <s v="CUST1108"/>
        <s v="CUST1020"/>
        <s v="CUST1037"/>
        <s v="CUST1027"/>
        <s v="CUST1175"/>
        <s v="CUST1123"/>
        <s v="CUST1134"/>
        <s v="CUST1188"/>
        <s v="CUST1045"/>
        <s v="CUST1172"/>
        <s v="CUST1083"/>
        <s v="CUST1146"/>
        <s v="CUST1120"/>
        <s v="CUST1025"/>
        <s v="CUST1135"/>
        <s v="CUST1044"/>
        <s v="CUST1107"/>
        <s v="CUST1036"/>
        <s v="CUST1147"/>
        <s v="CUST1006"/>
        <s v="CUST1153"/>
        <s v="CUST1159"/>
        <s v="CUST1009"/>
        <s v="CUST1165"/>
        <s v="CUST1155"/>
        <s v="CUST1013"/>
        <s v="CUST1041"/>
        <s v="CUST1128"/>
        <s v="CUST1085"/>
        <s v="CUST1024"/>
        <s v="CUST1098"/>
        <s v="CUST1060"/>
        <s v="CUST1130"/>
        <s v="CUST1056"/>
        <s v="CUST1158"/>
        <s v="CUST1022"/>
        <s v="CUST1081"/>
        <s v="CUST1100"/>
        <s v="CUST1071"/>
        <s v="CUST1016"/>
        <s v="CUST1070"/>
        <s v="CUST1148"/>
        <s v="CUST1099"/>
        <s v="CUST1191"/>
        <s v="CUST1105"/>
        <s v="CUST1140"/>
        <s v="CUST1190"/>
        <s v="CUST1094"/>
        <s v="CUST1042"/>
        <s v="CUST1186"/>
        <s v="CUST1133"/>
        <s v="CUST1028"/>
        <s v="CUST1026"/>
        <s v="CUST1116"/>
        <s v="CUST1149"/>
        <s v="CUST1001"/>
        <s v="CUST1092"/>
        <s v="CUST1058"/>
        <s v="CUST1183"/>
        <s v="CUST1069"/>
        <s v="CUST1054"/>
        <s v="CUST1087"/>
        <s v="CUST1011"/>
        <s v="CUST1012"/>
        <s v="CUST1194"/>
        <s v="CUST1053"/>
        <s v="CUST1145"/>
        <s v="CUST1150"/>
        <s v="CUST1102"/>
        <s v="CUST1015"/>
        <s v="CUST1195"/>
        <s v="CUST1030"/>
        <s v="CUST1198"/>
        <s v="CUST1061"/>
        <s v="CUST1078"/>
        <s v="CUST1082"/>
        <s v="CUST1095"/>
        <s v="CUST1090"/>
        <s v="CUST1048"/>
        <s v="CUST1184"/>
        <s v="CUST1040"/>
        <s v="CUST1200"/>
        <s v="CUST1033"/>
        <s v="CUST1177"/>
        <s v="CUST1122"/>
        <s v="CUST1103"/>
        <s v="CUST1193"/>
        <s v="CUST1160"/>
        <s v="CUST1121"/>
        <s v="CUST1141"/>
        <s v="CUST1152"/>
        <s v="CUST1111"/>
        <s v="CUST1050"/>
        <s v="CUST1014"/>
        <s v="CUST1076"/>
        <s v="CUST1057"/>
        <s v="CUST1164"/>
        <s v="CUST1064"/>
        <s v="CUST1088"/>
        <s v="CUST1031"/>
        <s v="CUST1068"/>
        <s v="CUST1055"/>
        <s v="CUST1168"/>
        <s v="CUST1118"/>
        <s v="CUST1196"/>
        <s v="CUST1035"/>
        <s v="CUST1138"/>
        <s v="CUST1185"/>
        <s v="CUST1144"/>
        <s v="CUST1124"/>
        <s v="CUST1097"/>
        <s v="CUST1127"/>
        <s v="CUST1043"/>
        <s v="CUST1132"/>
        <s v="CUST1154"/>
        <s v="CUST1115"/>
        <s v="CUST1010"/>
        <s v="CUST1171"/>
        <s v="CUST1021"/>
        <s v="CUST1163"/>
        <s v="CUST1126"/>
        <s v="CUST1005"/>
        <s v="CUST1074"/>
        <s v="CUST1187"/>
        <s v="CUST1162"/>
        <s v="CUST1075"/>
        <s v="CUST1109"/>
        <s v="CUST1091"/>
        <s v="CUST1004"/>
        <s v="CUST1142"/>
        <s v="CUST1167"/>
        <s v="CUST1189"/>
        <s v="CUST1059"/>
        <s v="CUST1096"/>
        <s v="CUST1136"/>
        <s v="CUST1199"/>
        <s v="CUST1174"/>
        <s v="CUST1179"/>
        <s v="CUST1089"/>
        <s v="CUST1137"/>
        <s v="CUST1073"/>
        <s v="CUST1003"/>
        <s v="CUST1019"/>
        <s v="CUST1034"/>
        <s v="CUST1046"/>
        <s v="CUST1156"/>
        <s v="CUST1176"/>
        <s v="CUST1170"/>
        <s v="CUST1018"/>
        <s v="CUST1063"/>
        <s v="CUST1143"/>
        <s v="CUST1104"/>
        <s v="CUST1119"/>
        <s v="CUST1129"/>
        <s v="CUST1110"/>
        <s v="CUST1032"/>
        <s v="CUST1052"/>
        <s v="CUST1017"/>
        <s v="CUST1182"/>
        <s v="CUST1093"/>
        <s v="CUST1181"/>
        <s v="CUST1192"/>
        <s v="CUST1067"/>
      </sharedItems>
    </cacheField>
    <cacheField name="Amount" numFmtId="0">
      <sharedItems containsSemiMixedTypes="0" containsString="0" containsNumber="1" minValue="0" maxValue="10431.13" count="978">
        <n v="167.74"/>
        <n v="195.2"/>
        <n v="104.43"/>
        <n v="185.69"/>
        <n v="229.96"/>
        <n v="101.61"/>
        <n v="61.6"/>
        <n v="657.19"/>
        <n v="331.66"/>
        <n v="104.83"/>
        <n v="225.8"/>
        <n v="41.32"/>
        <n v="25.1"/>
        <n v="536"/>
        <n v="228.05"/>
        <n v="172.83"/>
        <n v="228.76"/>
        <n v="4564.81"/>
        <n v="432.29"/>
        <n v="63.72"/>
        <n v="33.77"/>
        <n v="520.37"/>
        <n v="426.71"/>
        <n v="322.16"/>
        <n v="80.41"/>
        <n v="260.68"/>
        <n v="87.94"/>
        <n v="351.7"/>
        <n v="484.28"/>
        <n v="105.27"/>
        <n v="562.17"/>
        <n v="203.33"/>
        <n v="296.45"/>
        <n v="48.93"/>
        <n v="228.66"/>
        <n v="92.24"/>
        <n v="291.38"/>
        <n v="786.16"/>
        <n v="242.14"/>
        <n v="73.64"/>
        <n v="339.16"/>
        <n v="270.91"/>
        <n v="1420.27"/>
        <n v="233.68"/>
        <n v="100.94"/>
        <n v="391.76"/>
        <n v="159.54"/>
        <n v="196.42"/>
        <n v="71.63"/>
        <n v="160.38"/>
        <n v="186.94"/>
        <n v="159.44"/>
        <n v="100.4"/>
        <n v="241.83"/>
        <n v="71.99"/>
        <n v="56.88"/>
        <n v="368.54"/>
        <n v="336.21"/>
        <n v="49.03"/>
        <n v="29.09"/>
        <n v="66.11"/>
        <n v="159.45"/>
        <n v="574.99"/>
        <n v="155.59"/>
        <n v="83.99"/>
        <n v="210.31"/>
        <n v="161.74"/>
        <n v="45.56"/>
        <n v="45.83"/>
        <n v="47.08"/>
        <n v="2164.3"/>
        <n v="428.37"/>
        <n v="100.11"/>
        <n v="549.09"/>
        <n v="102.71"/>
        <n v="531.22"/>
        <n v="196.43"/>
        <n v="93.8"/>
        <n v="357.74"/>
        <n v="208"/>
        <n v="269.96"/>
        <n v="224.87"/>
        <n v="222.52"/>
        <n v="403.65"/>
        <n v="2401.4"/>
        <n v="631.94"/>
        <n v="132.87"/>
        <n v="148.3"/>
        <n v="51.62"/>
        <n v="352.32"/>
        <n v="65.7"/>
        <n v="124.9"/>
        <n v="354.37"/>
        <n v="142.98"/>
        <n v="110.8"/>
        <n v="54.74"/>
        <n v="605.06"/>
        <n v="78.79"/>
        <n v="100.9"/>
        <n v="30.21"/>
        <n v="177.71"/>
        <n v="129.89"/>
        <n v="217.43"/>
        <n v="56"/>
        <n v="377.73"/>
        <n v="28.81"/>
        <n v="165.31"/>
        <n v="203.46"/>
        <n v="192.05"/>
        <n v="212.25"/>
        <n v="398.88"/>
        <n v="681.77"/>
        <n v="155.15"/>
        <n v="68.87"/>
        <n v="317.58"/>
        <n v="136.97"/>
        <n v="642.02"/>
        <n v="99.29"/>
        <n v="76.86"/>
        <n v="209.31"/>
        <n v="31.8"/>
        <n v="113.59"/>
        <n v="130.34"/>
        <n v="225.99"/>
        <n v="66.94"/>
        <n v="75.23"/>
        <n v="576.46"/>
        <n v="178.85"/>
        <n v="430.37"/>
        <n v="105.45"/>
        <n v="171.67"/>
        <n v="224.65"/>
        <n v="1040.6"/>
        <n v="145.82"/>
        <n v="153.5"/>
        <n v="543.57"/>
        <n v="123.99"/>
        <n v="240.96"/>
        <n v="498.18"/>
        <n v="101.92"/>
        <n v="254.8"/>
        <n v="1038.52"/>
        <n v="455.46"/>
        <n v="241.03"/>
        <n v="144.85"/>
        <n v="99.06"/>
        <n v="67.48"/>
        <n v="820.26"/>
        <n v="675.51"/>
        <n v="93.96"/>
        <n v="254.09"/>
        <n v="202.62"/>
        <n v="592.54"/>
        <n v="265.82"/>
        <n v="177.18"/>
        <n v="105.46"/>
        <n v="254.9"/>
        <n v="127.97"/>
        <n v="226.03"/>
        <n v="168.01"/>
        <n v="68.53"/>
        <n v="303.14"/>
        <n v="189.16"/>
        <n v="1082.92"/>
        <n v="64.56"/>
        <n v="338.76"/>
        <n v="166.89"/>
        <n v="1479.94"/>
        <n v="313.87"/>
        <n v="250.81"/>
        <n v="167.32"/>
        <n v="89.74"/>
        <n v="247.5"/>
        <n v="45.5"/>
        <n v="47.64"/>
        <n v="498.92"/>
        <n v="31.12"/>
        <n v="131.69"/>
        <n v="63.49"/>
        <n v="121.21"/>
        <n v="218.01"/>
        <n v="485.2"/>
        <n v="612.55"/>
        <n v="72.32"/>
        <n v="113.75"/>
        <n v="10431.13"/>
        <n v="141.17"/>
        <n v="75.02"/>
        <n v="88.61"/>
        <n v="142"/>
        <n v="122.4"/>
        <n v="143.4"/>
        <n v="177.43"/>
        <n v="176.2"/>
        <n v="69.72"/>
        <n v="262.26"/>
        <n v="204.6"/>
        <n v="297.85"/>
        <n v="32.64"/>
        <n v="212.05"/>
        <n v="24.89"/>
        <n v="152.08"/>
        <n v="350"/>
        <n v="515.83"/>
        <n v="253.27"/>
        <n v="356.16"/>
        <n v="134.42"/>
        <n v="108.94"/>
        <n v="2677.82"/>
        <n v="414.54"/>
        <n v="56.09"/>
        <n v="31.99"/>
        <n v="113.86"/>
        <n v="596.97"/>
        <n v="190.33"/>
        <n v="20"/>
        <n v="151.82"/>
        <n v="180.84"/>
        <n v="185.71"/>
        <n v="65.8"/>
        <n v="28.92"/>
        <n v="901.9"/>
        <n v="62.95"/>
        <n v="93.01"/>
        <n v="91.78"/>
        <n v="181.68"/>
        <n v="1060.3"/>
        <n v="54.81"/>
        <n v="133.38"/>
        <n v="204.56"/>
        <n v="76.04"/>
        <n v="131.25"/>
        <n v="328.49"/>
        <n v="85.14"/>
        <n v="129.2"/>
        <n v="117.76"/>
        <n v="163.4"/>
        <n v="231.17"/>
        <n v="325.89"/>
        <n v="1258.35"/>
        <n v="153.33"/>
        <n v="46.32"/>
        <n v="123.3"/>
        <n v="437.41"/>
        <n v="600.52"/>
        <n v="629.37"/>
        <n v="623.46"/>
        <n v="152.33"/>
        <n v="734.02"/>
        <n v="895.02"/>
        <n v="208.26"/>
        <n v="588.3"/>
        <n v="188.9"/>
        <n v="742.66"/>
        <n v="154.21"/>
        <n v="98.54"/>
        <n v="59.15"/>
        <n v="152.38"/>
        <n v="197.23"/>
        <n v="70.4"/>
        <n v="141.16"/>
        <n v="107.07"/>
        <n v="61.75"/>
        <n v="510.75"/>
        <n v="609.05"/>
        <n v="508.48"/>
        <n v="166.64"/>
        <n v="177.26"/>
        <n v="62.6"/>
        <n v="274.41"/>
        <n v="214.78"/>
        <n v="3114.88"/>
        <n v="537.59"/>
        <n v="248.45"/>
        <n v="173.88"/>
        <n v="493.39"/>
        <n v="72.55"/>
        <n v="566.59"/>
        <n v="61.12"/>
        <n v="103.39"/>
        <n v="28.84"/>
        <n v="334.98"/>
        <n v="232.74"/>
        <n v="71.58"/>
        <n v="719.62"/>
        <n v="158.6"/>
        <n v="84.16"/>
        <n v="1238.84"/>
        <n v="93.97"/>
        <n v="566.01"/>
        <n v="57.34"/>
        <n v="127.11"/>
        <n v="299.55"/>
        <n v="171.09"/>
        <n v="231.31"/>
        <n v="0"/>
        <n v="784.92"/>
        <n v="112.41"/>
        <n v="242.02"/>
        <n v="365.75"/>
        <n v="246.84"/>
        <n v="89.25"/>
        <n v="578.11"/>
        <n v="302.98"/>
        <n v="221.14"/>
        <n v="216.07"/>
        <n v="974.83"/>
        <n v="87.35"/>
        <n v="274.58"/>
        <n v="106.84"/>
        <n v="26.15"/>
        <n v="25.46"/>
        <n v="65.72"/>
        <n v="93.84"/>
        <n v="1592.32"/>
        <n v="364.45"/>
        <n v="398.75"/>
        <n v="95.86"/>
        <n v="192.74"/>
        <n v="1819.2"/>
        <n v="53.82"/>
        <n v="286.07"/>
        <n v="908.05"/>
        <n v="476.25"/>
        <n v="1098.32"/>
        <n v="224.27"/>
        <n v="331.44"/>
        <n v="202.3"/>
        <n v="309"/>
        <n v="72.59"/>
        <n v="400.35"/>
        <n v="243.29"/>
        <n v="192.99"/>
        <n v="1039.39"/>
        <n v="139.02"/>
        <n v="606.57"/>
        <n v="670"/>
        <n v="426.47"/>
        <n v="69.05"/>
        <n v="259.58"/>
        <n v="1284.95"/>
        <n v="29.41"/>
        <n v="150.26"/>
        <n v="579.58"/>
        <n v="161.53"/>
        <n v="407.44"/>
        <n v="741.88"/>
        <n v="228.61"/>
        <n v="301.57"/>
        <n v="198.71"/>
        <n v="244.16"/>
        <n v="1484.16"/>
        <n v="170.04"/>
        <n v="127.34"/>
        <n v="513.76"/>
        <n v="78.03"/>
        <n v="98.03"/>
        <n v="98.66"/>
        <n v="140.35"/>
        <n v="146.61"/>
        <n v="364.71"/>
        <n v="128.72"/>
        <n v="379.73"/>
        <n v="430.17"/>
        <n v="94.3"/>
        <n v="421.03"/>
        <n v="461.01"/>
        <n v="31.16"/>
        <n v="243.1"/>
        <n v="109.24"/>
        <n v="667.18"/>
        <n v="108.14"/>
        <n v="47.49"/>
        <n v="175.95"/>
        <n v="73.92"/>
        <n v="423.94"/>
        <n v="80.75"/>
        <n v="178.13"/>
        <n v="850.49"/>
        <n v="543.77"/>
        <n v="292.32"/>
        <n v="159.56"/>
        <n v="265.84"/>
        <n v="361.04"/>
        <n v="67.59"/>
        <n v="424.68"/>
        <n v="60.24"/>
        <n v="321.32"/>
        <n v="59.93"/>
        <n v="1290.51"/>
        <n v="388.91"/>
        <n v="38.24"/>
        <n v="181.1"/>
        <n v="107.62"/>
        <n v="95.61"/>
        <n v="210"/>
        <n v="71.67"/>
        <n v="388.18"/>
        <n v="366.74"/>
        <n v="257.6"/>
        <n v="177.77"/>
        <n v="350.66"/>
        <n v="399.97"/>
        <n v="285.69"/>
        <n v="48.82"/>
        <n v="82.4"/>
        <n v="138.65"/>
        <n v="41.44"/>
        <n v="226.79"/>
        <n v="743.23"/>
        <n v="633.77"/>
        <n v="379.79"/>
        <n v="375.29"/>
        <n v="1661.2"/>
        <n v="421.52"/>
        <n v="457.44"/>
        <n v="43"/>
        <n v="687.33"/>
        <n v="270.02"/>
        <n v="167.37"/>
        <n v="130.63"/>
        <n v="104.73"/>
        <n v="637"/>
        <n v="108.67"/>
        <n v="83.8"/>
        <n v="214.99"/>
        <n v="126.52"/>
        <n v="100.71"/>
        <n v="45.51"/>
        <n v="473.12"/>
        <n v="157.9"/>
        <n v="61.24"/>
        <n v="138.21"/>
        <n v="313.92"/>
        <n v="186.58"/>
        <n v="219.42"/>
        <n v="189.15"/>
        <n v="50.56"/>
        <n v="468.02"/>
        <n v="32.84"/>
        <n v="287.59"/>
        <n v="335.48"/>
        <n v="145.5"/>
        <n v="258.12"/>
        <n v="137.4"/>
        <n v="261.25"/>
        <n v="489.27"/>
        <n v="82.09"/>
        <n v="355.66"/>
        <n v="984.76"/>
        <n v="236.17"/>
        <n v="109.61"/>
        <n v="1742.77"/>
        <n v="198.09"/>
        <n v="228.5"/>
        <n v="233.31"/>
        <n v="283.68"/>
        <n v="129.17"/>
        <n v="219.2"/>
        <n v="469.74"/>
        <n v="124.79"/>
        <n v="119.11"/>
        <n v="135.36"/>
        <n v="60.47"/>
        <n v="91.58"/>
        <n v="87.92"/>
        <n v="181.18"/>
        <n v="418.28"/>
        <n v="775.66"/>
        <n v="191.94"/>
        <n v="286.14"/>
        <n v="231.23"/>
        <n v="22.34"/>
        <n v="57.52"/>
        <n v="388.1"/>
        <n v="427.73"/>
        <n v="418.05"/>
        <n v="151.74"/>
        <n v="24.66"/>
        <n v="64.81"/>
        <n v="75.53"/>
        <n v="339.94"/>
        <n v="126.8"/>
        <n v="982.79"/>
        <n v="786.54"/>
        <n v="966.52"/>
        <n v="72.49"/>
        <n v="296.16"/>
        <n v="112.45"/>
        <n v="251.61"/>
        <n v="80.99"/>
        <n v="617.79"/>
        <n v="82.52"/>
        <n v="25.86"/>
        <n v="1385.45"/>
        <n v="282.17"/>
        <n v="62.23"/>
        <n v="154.12"/>
        <n v="101.81"/>
        <n v="182.32"/>
        <n v="404.55"/>
        <n v="345.77"/>
        <n v="233.63"/>
        <n v="182.23"/>
        <n v="533.08"/>
        <n v="26.43"/>
        <n v="85.72"/>
        <n v="68.12"/>
        <n v="495.84"/>
        <n v="86.57"/>
        <n v="50.1"/>
        <n v="313.98"/>
        <n v="73.06"/>
        <n v="127.65"/>
        <n v="1960.87"/>
        <n v="398.27"/>
        <n v="146.78"/>
        <n v="160.59"/>
        <n v="449.21"/>
        <n v="351.73"/>
        <n v="195.51"/>
        <n v="201.05"/>
        <n v="41.27"/>
        <n v="33.45"/>
        <n v="151.89"/>
        <n v="96.23"/>
        <n v="325.73"/>
        <n v="220.78"/>
        <n v="83.7"/>
        <n v="213.41"/>
        <n v="119.32"/>
        <n v="1431.68"/>
        <n v="266.73"/>
        <n v="38.07"/>
        <n v="1119.36"/>
        <n v="96.24"/>
        <n v="68.39"/>
        <n v="1546.4"/>
        <n v="256.17"/>
        <n v="365.32"/>
        <n v="377.31"/>
        <n v="147.53"/>
        <n v="102.27"/>
        <n v="120.39"/>
        <n v="905.84"/>
        <n v="222.25"/>
        <n v="673.79"/>
        <n v="167.93"/>
        <n v="85.17"/>
        <n v="42.85"/>
        <n v="346.54"/>
        <n v="986.44"/>
        <n v="74.74"/>
        <n v="302.89"/>
        <n v="45.8"/>
        <n v="103.99"/>
        <n v="236.97"/>
        <n v="32.19"/>
        <n v="178.03"/>
        <n v="78.52"/>
        <n v="331.88"/>
        <n v="153.64"/>
        <n v="463.79"/>
        <n v="137.06"/>
        <n v="46.41"/>
        <n v="40.98"/>
        <n v="26.87"/>
        <n v="341.37"/>
        <n v="2339.59"/>
        <n v="280.13"/>
        <n v="964.92"/>
        <n v="563.17"/>
        <n v="107.95"/>
        <n v="642.47"/>
        <n v="112.33"/>
        <n v="114.58"/>
        <n v="147.14"/>
        <n v="154.29"/>
        <n v="351.2"/>
        <n v="92.68"/>
        <n v="441.03"/>
        <n v="434.74"/>
        <n v="255.43"/>
        <n v="1260.94"/>
        <n v="656.81"/>
        <n v="528.33"/>
        <n v="193.67"/>
        <n v="257.69"/>
        <n v="306.07"/>
        <n v="183.69"/>
        <n v="124.52"/>
        <n v="371.58"/>
        <n v="513.6"/>
        <n v="56.76"/>
        <n v="332.01"/>
        <n v="100.33"/>
        <n v="125.65"/>
        <n v="672.34"/>
        <n v="67.31"/>
        <n v="67.21"/>
        <n v="1101.95"/>
        <n v="156.72"/>
        <n v="630.52"/>
        <n v="36.65"/>
        <n v="39.7"/>
        <n v="72.75"/>
        <n v="112"/>
        <n v="44.55"/>
        <n v="262.25"/>
        <n v="279.95"/>
        <n v="73.84"/>
        <n v="79.95"/>
        <n v="91.21"/>
        <n v="56.55"/>
        <n v="166.49"/>
        <n v="117.87"/>
        <n v="130.56"/>
        <n v="65.9"/>
        <n v="407.69"/>
        <n v="2049.58"/>
        <n v="78.72"/>
        <n v="734.87"/>
        <n v="261.56"/>
        <n v="187.81"/>
        <n v="128.49"/>
        <n v="166.8"/>
        <n v="572.26"/>
        <n v="58.09"/>
        <n v="137.69"/>
        <n v="632.07"/>
        <n v="484.79"/>
        <n v="58.99"/>
        <n v="151.02"/>
        <n v="375.41"/>
        <n v="351.93"/>
        <n v="480.65"/>
        <n v="266.21"/>
        <n v="314.8"/>
        <n v="255.39"/>
        <n v="879.83"/>
        <n v="118.89"/>
        <n v="190.22"/>
        <n v="53.95"/>
        <n v="250.88"/>
        <n v="87.87"/>
        <n v="171.11"/>
        <n v="913.93"/>
        <n v="862.59"/>
        <n v="1675.8"/>
        <n v="932.3"/>
        <n v="2004.24"/>
        <n v="280.49"/>
        <n v="73.48"/>
        <n v="66.66"/>
        <n v="732.4"/>
        <n v="190.88"/>
        <n v="205.64"/>
        <n v="104.68"/>
        <n v="118.02"/>
        <n v="266.07"/>
        <n v="63.1"/>
        <n v="234.43"/>
        <n v="821.46"/>
        <n v="21.46"/>
        <n v="38.81"/>
        <n v="356.24"/>
        <n v="709.08"/>
        <n v="111.06"/>
        <n v="24.58"/>
        <n v="758.94"/>
        <n v="80.55"/>
        <n v="126.31"/>
        <n v="249.4"/>
        <n v="93.09"/>
        <n v="75.48"/>
        <n v="76.88"/>
        <n v="1162.04"/>
        <n v="578.02"/>
        <n v="321.99"/>
        <n v="20.36"/>
        <n v="323.17"/>
        <n v="306.19"/>
        <n v="50.49"/>
        <n v="234.79"/>
        <n v="518.79"/>
        <n v="320.33"/>
        <n v="91.82"/>
        <n v="376.29"/>
        <n v="192.38"/>
        <n v="635.42"/>
        <n v="269.26"/>
        <n v="384.88"/>
        <n v="412.16"/>
        <n v="62.38"/>
        <n v="190.56"/>
        <n v="130.01"/>
        <n v="514.83"/>
        <n v="288.08"/>
        <n v="150.17"/>
        <n v="50.31"/>
        <n v="36.71"/>
        <n v="247.24"/>
        <n v="88.48"/>
        <n v="352.88"/>
        <n v="35.05"/>
        <n v="891.54"/>
        <n v="352.08"/>
        <n v="200.17"/>
        <n v="975.61"/>
        <n v="467.98"/>
        <n v="112.73"/>
        <n v="195.89"/>
        <n v="25.42"/>
        <n v="525.42"/>
        <n v="134.83"/>
        <n v="55.6"/>
        <n v="433.08"/>
        <n v="910.33"/>
        <n v="185.01"/>
        <n v="67.89"/>
        <n v="43.78"/>
        <n v="745.92"/>
        <n v="284.14"/>
        <n v="130.3"/>
        <n v="102.69"/>
        <n v="354.9"/>
        <n v="345.27"/>
        <n v="73.95"/>
        <n v="57.84"/>
        <n v="60.83"/>
        <n v="113.5"/>
        <n v="90.94"/>
        <n v="914.24"/>
        <n v="109.53"/>
        <n v="51.95"/>
        <n v="54.95"/>
        <n v="150.81"/>
        <n v="29.31"/>
        <n v="170.7"/>
        <n v="47.65"/>
        <n v="577.44"/>
        <n v="203.68"/>
        <n v="1511.75"/>
        <n v="144.29"/>
        <n v="778.74"/>
        <n v="299.44"/>
        <n v="349.64"/>
        <n v="66.51"/>
        <n v="173.67"/>
        <n v="218.43"/>
        <n v="142.9"/>
        <n v="32"/>
        <n v="2889.08"/>
        <n v="418.15"/>
        <n v="276.05"/>
        <n v="674.44"/>
        <n v="345.22"/>
        <n v="92.09"/>
        <n v="632.56"/>
        <n v="425.05"/>
        <n v="95.65"/>
        <n v="399.42"/>
        <n v="142.51"/>
        <n v="223.29"/>
        <n v="330.18"/>
        <n v="712.3"/>
        <n v="95.01"/>
        <n v="261.12"/>
        <n v="1360.66"/>
        <n v="152.01"/>
        <n v="220.65"/>
        <n v="1358.63"/>
        <n v="342.91"/>
        <n v="41.51"/>
        <n v="81.82"/>
        <n v="361.25"/>
        <n v="276.72"/>
        <n v="213.27"/>
        <n v="1573.76"/>
        <n v="97.76"/>
        <n v="168.27"/>
        <n v="25.45"/>
        <n v="578.63"/>
        <n v="81.54"/>
        <n v="521.72"/>
        <n v="469.67"/>
        <n v="1899.03"/>
        <n v="346.98"/>
        <n v="126.97"/>
        <n v="285.32"/>
        <n v="84.84"/>
        <n v="249.43"/>
        <n v="148.28"/>
        <n v="168.96"/>
        <n v="73.82"/>
        <n v="244.8"/>
        <n v="413.32"/>
        <n v="34.74"/>
        <n v="91.05"/>
        <n v="214.44"/>
        <n v="1033.04"/>
        <n v="89.02"/>
        <n v="70.95"/>
        <n v="147.33"/>
        <n v="207.97"/>
        <n v="85.07"/>
        <n v="483.19"/>
        <n v="270.35"/>
        <n v="78.47"/>
        <n v="107.51"/>
        <n v="39.77"/>
        <n v="51.76"/>
        <n v="267.09"/>
        <n v="79.29"/>
        <n v="1101.34"/>
        <n v="194.6"/>
        <n v="46.86"/>
        <n v="57.78"/>
        <n v="519.55"/>
        <n v="167.92"/>
        <n v="488.82"/>
        <n v="103.52"/>
        <n v="555.27"/>
        <n v="76.82"/>
        <n v="295.61"/>
        <n v="146.67"/>
        <n v="436.47"/>
        <n v="1117.09"/>
        <n v="122.46"/>
        <n v="104.88"/>
        <n v="352.77"/>
        <n v="61.44"/>
        <n v="912.75"/>
        <n v="769.72"/>
        <n v="66.75"/>
        <n v="37.22"/>
        <n v="56.79"/>
        <n v="57.66"/>
        <n v="404.14"/>
        <n v="853.35"/>
        <n v="399.47"/>
        <n v="143.14"/>
        <n v="255.32"/>
        <n v="75.96"/>
        <n v="543.05"/>
        <n v="279.23"/>
        <n v="392.76"/>
        <n v="87.57"/>
        <n v="153.15"/>
        <n v="374.31"/>
        <n v="767.79"/>
        <n v="98.68"/>
        <n v="395.62"/>
        <n v="88.94"/>
        <n v="1505.97"/>
        <n v="119.72"/>
        <n v="344.99"/>
        <n v="213.92"/>
        <n v="2453.58"/>
        <n v="228.13"/>
        <n v="108.3"/>
        <n v="343.61"/>
        <n v="336.04"/>
        <n v="154.86"/>
        <n v="60.66"/>
        <n v="106.91"/>
        <n v="437.68"/>
        <n v="31.58"/>
        <n v="141.45"/>
        <n v="490.22"/>
        <n v="165.09"/>
        <n v="1593.54"/>
        <n v="31.67"/>
        <n v="69.31"/>
        <n v="1331.01"/>
        <n v="70.46"/>
        <n v="24.86"/>
        <n v="98.31"/>
        <n v="45.02"/>
        <n v="99.01"/>
        <n v="405.42"/>
        <n v="152.22"/>
        <n v="185.92"/>
        <n v="101.33"/>
        <n v="39.98"/>
        <n v="28.6"/>
        <n v="125.9"/>
        <n v="197.28"/>
        <n v="116.91"/>
        <n v="29.69"/>
        <n v="221.72"/>
        <n v="924.55"/>
        <n v="161.64"/>
        <n v="101.54"/>
        <n v="170.63"/>
        <n v="60.08"/>
        <n v="56.32"/>
        <n v="284.69"/>
        <n v="488"/>
        <n v="156.48"/>
        <n v="25.18"/>
        <n v="258.1"/>
        <n v="1432.79"/>
        <n v="142.04"/>
        <n v="75.74"/>
        <n v="293.35"/>
        <n v="92.67"/>
        <n v="503.46"/>
        <n v="93.92"/>
        <n v="255.13"/>
        <n v="173.06"/>
        <n v="858.44"/>
        <n v="273"/>
        <n v="725.61"/>
        <n v="202.07"/>
        <n v="152.82"/>
        <n v="174.48"/>
        <n v="83.81"/>
        <n v="308.48"/>
        <n v="90.89"/>
        <n v="202.85"/>
        <n v="426.33"/>
        <n v="883.2"/>
        <n v="213.33"/>
        <n v="428.89"/>
        <n v="380.65"/>
        <n v="123.67"/>
        <n v="1491.9"/>
        <n v="101.88"/>
        <n v="198.54"/>
        <n v="775.97"/>
        <n v="757.07"/>
        <n v="183.89"/>
        <n v="488.05"/>
        <n v="144.9"/>
        <n v="111.2"/>
        <n v="53.9"/>
        <n v="373.86"/>
        <n v="415.39"/>
        <n v="102.73"/>
        <n v="237.01"/>
        <n v="2568.27"/>
        <n v="570.6"/>
        <n v="73.59"/>
        <n v="493.52"/>
        <n v="73.93"/>
        <n v="177.61"/>
        <n v="865.41"/>
        <n v="733.22"/>
        <n v="264.34"/>
        <n v="294.84"/>
        <n v="138.5"/>
        <n v="108.46"/>
        <n v="524.27"/>
        <n v="107.12"/>
        <n v="559.61"/>
        <n v="100.26"/>
        <n v="1420.11"/>
        <n v="35.14"/>
        <n v="69.63"/>
        <n v="155.19"/>
        <n v="24.93"/>
        <n v="25.14"/>
        <n v="138.84"/>
        <n v="252.9"/>
        <n v="148.86"/>
        <n v="244.57"/>
        <n v="115.56"/>
        <n v="370.49"/>
        <n v="328.43"/>
        <n v="130.75"/>
        <n v="308.9"/>
        <n v="149.81"/>
        <n v="39.55"/>
        <n v="447.87"/>
        <n v="73.2"/>
        <n v="443.11"/>
        <n v="250.64"/>
      </sharedItems>
    </cacheField>
    <cacheField name="Payment_Method" numFmtId="0">
      <sharedItems containsBlank="1" count="6">
        <s v="Wallet"/>
        <s v="Credit Card"/>
        <s v="Debit Card"/>
        <s v="UPI"/>
        <s v="Net Banking"/>
        <m/>
      </sharedItems>
    </cacheField>
    <cacheField name="Transaction_Type" numFmtId="0">
      <sharedItems count="5">
        <s v="Online Purchase"/>
        <s v="Bill Payment"/>
        <s v="Money Transfer"/>
        <s v="ATM"/>
        <s v="Subscription"/>
      </sharedItems>
    </cacheField>
    <cacheField name="Location" numFmtId="0">
      <sharedItems containsBlank="1" count="9">
        <s v="Chennai"/>
        <s v="Delhi"/>
        <s v="Bengaluru"/>
        <s v="Kochi"/>
        <s v="Coimbatore"/>
        <s v="Pune"/>
        <s v="Hyderabad"/>
        <m/>
        <s v="Mumbai"/>
      </sharedItems>
    </cacheField>
    <cacheField name="Device_Type" numFmtId="0">
      <sharedItems count="3">
        <s v="Mobile"/>
        <s v="Tablet"/>
        <s v="Desktop"/>
      </sharedItems>
    </cacheField>
    <cacheField name="Merchant_Category" numFmtId="0">
      <sharedItems count="7">
        <s v="Fashion"/>
        <s v="Grocery"/>
        <s v="Electronics"/>
        <s v="Travel"/>
        <s v="Food"/>
        <s v="Utilities"/>
        <s v="Entertainment"/>
      </sharedItems>
    </cacheField>
    <cacheField name="Customer_Age" numFmtId="0">
      <sharedItems containsSemiMixedTypes="0" containsString="0" containsNumber="1" containsInteger="1" minValue="18" maxValue="65" count="48">
        <n v="26"/>
        <n v="34"/>
        <n v="22"/>
        <n v="48"/>
        <n v="57"/>
        <n v="55"/>
        <n v="60"/>
        <n v="36"/>
        <n v="53"/>
        <n v="50"/>
        <n v="30"/>
        <n v="31"/>
        <n v="46"/>
        <n v="61"/>
        <n v="27"/>
        <n v="23"/>
        <n v="18"/>
        <n v="24"/>
        <n v="44"/>
        <n v="38"/>
        <n v="45"/>
        <n v="33"/>
        <n v="63"/>
        <n v="40"/>
        <n v="37"/>
        <n v="42"/>
        <n v="35"/>
        <n v="64"/>
        <n v="62"/>
        <n v="20"/>
        <n v="59"/>
        <n v="52"/>
        <n v="58"/>
        <n v="51"/>
        <n v="65"/>
        <n v="19"/>
        <n v="56"/>
        <n v="21"/>
        <n v="47"/>
        <n v="29"/>
        <n v="41"/>
        <n v="28"/>
        <n v="32"/>
        <n v="49"/>
        <n v="39"/>
        <n v="25"/>
        <n v="54"/>
        <n v="43"/>
      </sharedItems>
    </cacheField>
    <cacheField name="Transaction_Status" numFmtId="0">
      <sharedItems count="4">
        <s v="Successful"/>
        <s v="Under Review"/>
        <s v="Failed"/>
        <s v="Blocked"/>
      </sharedItems>
    </cacheField>
    <cacheField name="Fraud_Flag" numFmtId="0">
      <sharedItems containsSemiMixedTypes="0" containsString="0" containsNumber="1" containsInteger="1" minValue="0" maxValue="1" count="2">
        <n v="0"/>
        <n v="1"/>
      </sharedItems>
    </cacheField>
    <cacheField name="Duplicate_Check" numFmtId="0">
      <sharedItems containsSemiMixedTypes="0" containsString="0" containsNumber="1" containsInteger="1" minValue="1" maxValue="1" count="1">
        <n v="1"/>
      </sharedItems>
    </cacheField>
    <cacheField name="Unknown" numFmtId="0">
      <sharedItems containsBlank="1" count="2">
        <m/>
        <s v="Unknown"/>
      </sharedItems>
    </cacheField>
    <cacheField name="Transaction_Hour" numFmtId="0">
      <sharedItems containsSemiMixedTypes="0" containsString="0" containsNumber="1" containsInteger="1" minValue="0" maxValue="23" count="24">
        <n v="6"/>
        <n v="19"/>
        <n v="14"/>
        <n v="10"/>
        <n v="7"/>
        <n v="20"/>
        <n v="18"/>
        <n v="22"/>
        <n v="23"/>
        <n v="3"/>
        <n v="2"/>
        <n v="21"/>
        <n v="1"/>
        <n v="11"/>
        <n v="5"/>
        <n v="0"/>
        <n v="16"/>
        <n v="9"/>
        <n v="15"/>
        <n v="4"/>
        <n v="8"/>
        <n v="17"/>
        <n v="13"/>
        <n v="12"/>
      </sharedItems>
    </cacheField>
    <cacheField name="Time_Period" numFmtId="0">
      <sharedItems count="1">
        <s v="Late Night"/>
      </sharedItems>
    </cacheField>
    <cacheField name="Amount_Category" numFmtId="0">
      <sharedItems count="3">
        <s v="Low"/>
        <s v="Medium"/>
        <s v="Hig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0"/>
    <x v="1"/>
    <x v="0"/>
    <x v="1"/>
    <x v="1"/>
    <x v="0"/>
    <x v="0"/>
    <x v="0"/>
    <x v="0"/>
    <x v="1"/>
    <x v="0"/>
    <x v="0"/>
  </r>
  <r>
    <x v="2"/>
    <x v="0"/>
    <x v="2"/>
    <x v="2"/>
    <x v="2"/>
    <x v="2"/>
    <x v="1"/>
    <x v="2"/>
    <x v="1"/>
    <x v="2"/>
    <x v="2"/>
    <x v="0"/>
    <x v="0"/>
    <x v="0"/>
    <x v="0"/>
    <x v="2"/>
    <x v="0"/>
    <x v="0"/>
  </r>
  <r>
    <x v="3"/>
    <x v="0"/>
    <x v="3"/>
    <x v="3"/>
    <x v="3"/>
    <x v="3"/>
    <x v="0"/>
    <x v="3"/>
    <x v="0"/>
    <x v="1"/>
    <x v="3"/>
    <x v="0"/>
    <x v="0"/>
    <x v="0"/>
    <x v="0"/>
    <x v="3"/>
    <x v="0"/>
    <x v="0"/>
  </r>
  <r>
    <x v="4"/>
    <x v="0"/>
    <x v="4"/>
    <x v="4"/>
    <x v="4"/>
    <x v="3"/>
    <x v="2"/>
    <x v="4"/>
    <x v="0"/>
    <x v="2"/>
    <x v="4"/>
    <x v="0"/>
    <x v="0"/>
    <x v="0"/>
    <x v="0"/>
    <x v="4"/>
    <x v="0"/>
    <x v="0"/>
  </r>
  <r>
    <x v="5"/>
    <x v="0"/>
    <x v="5"/>
    <x v="5"/>
    <x v="5"/>
    <x v="0"/>
    <x v="0"/>
    <x v="2"/>
    <x v="0"/>
    <x v="3"/>
    <x v="5"/>
    <x v="0"/>
    <x v="0"/>
    <x v="0"/>
    <x v="0"/>
    <x v="5"/>
    <x v="0"/>
    <x v="0"/>
  </r>
  <r>
    <x v="6"/>
    <x v="1"/>
    <x v="6"/>
    <x v="6"/>
    <x v="6"/>
    <x v="1"/>
    <x v="0"/>
    <x v="1"/>
    <x v="0"/>
    <x v="4"/>
    <x v="6"/>
    <x v="0"/>
    <x v="0"/>
    <x v="0"/>
    <x v="0"/>
    <x v="0"/>
    <x v="0"/>
    <x v="0"/>
  </r>
  <r>
    <x v="7"/>
    <x v="1"/>
    <x v="7"/>
    <x v="7"/>
    <x v="7"/>
    <x v="4"/>
    <x v="3"/>
    <x v="4"/>
    <x v="0"/>
    <x v="5"/>
    <x v="7"/>
    <x v="0"/>
    <x v="0"/>
    <x v="0"/>
    <x v="0"/>
    <x v="6"/>
    <x v="0"/>
    <x v="0"/>
  </r>
  <r>
    <x v="8"/>
    <x v="1"/>
    <x v="8"/>
    <x v="8"/>
    <x v="8"/>
    <x v="3"/>
    <x v="0"/>
    <x v="4"/>
    <x v="1"/>
    <x v="5"/>
    <x v="8"/>
    <x v="0"/>
    <x v="0"/>
    <x v="0"/>
    <x v="0"/>
    <x v="7"/>
    <x v="0"/>
    <x v="0"/>
  </r>
  <r>
    <x v="9"/>
    <x v="1"/>
    <x v="9"/>
    <x v="9"/>
    <x v="9"/>
    <x v="3"/>
    <x v="4"/>
    <x v="5"/>
    <x v="0"/>
    <x v="5"/>
    <x v="9"/>
    <x v="0"/>
    <x v="0"/>
    <x v="0"/>
    <x v="0"/>
    <x v="3"/>
    <x v="0"/>
    <x v="0"/>
  </r>
  <r>
    <x v="10"/>
    <x v="1"/>
    <x v="10"/>
    <x v="10"/>
    <x v="10"/>
    <x v="3"/>
    <x v="3"/>
    <x v="6"/>
    <x v="0"/>
    <x v="1"/>
    <x v="10"/>
    <x v="0"/>
    <x v="0"/>
    <x v="0"/>
    <x v="0"/>
    <x v="3"/>
    <x v="0"/>
    <x v="0"/>
  </r>
  <r>
    <x v="11"/>
    <x v="1"/>
    <x v="11"/>
    <x v="11"/>
    <x v="11"/>
    <x v="2"/>
    <x v="2"/>
    <x v="2"/>
    <x v="0"/>
    <x v="6"/>
    <x v="11"/>
    <x v="0"/>
    <x v="0"/>
    <x v="0"/>
    <x v="0"/>
    <x v="8"/>
    <x v="0"/>
    <x v="0"/>
  </r>
  <r>
    <x v="12"/>
    <x v="2"/>
    <x v="12"/>
    <x v="12"/>
    <x v="12"/>
    <x v="3"/>
    <x v="2"/>
    <x v="6"/>
    <x v="0"/>
    <x v="0"/>
    <x v="9"/>
    <x v="0"/>
    <x v="0"/>
    <x v="0"/>
    <x v="0"/>
    <x v="5"/>
    <x v="0"/>
    <x v="0"/>
  </r>
  <r>
    <x v="13"/>
    <x v="2"/>
    <x v="13"/>
    <x v="5"/>
    <x v="13"/>
    <x v="4"/>
    <x v="4"/>
    <x v="4"/>
    <x v="0"/>
    <x v="5"/>
    <x v="12"/>
    <x v="0"/>
    <x v="0"/>
    <x v="0"/>
    <x v="0"/>
    <x v="9"/>
    <x v="0"/>
    <x v="0"/>
  </r>
  <r>
    <x v="14"/>
    <x v="2"/>
    <x v="14"/>
    <x v="13"/>
    <x v="14"/>
    <x v="1"/>
    <x v="0"/>
    <x v="0"/>
    <x v="2"/>
    <x v="3"/>
    <x v="6"/>
    <x v="0"/>
    <x v="0"/>
    <x v="0"/>
    <x v="0"/>
    <x v="4"/>
    <x v="0"/>
    <x v="0"/>
  </r>
  <r>
    <x v="15"/>
    <x v="2"/>
    <x v="15"/>
    <x v="14"/>
    <x v="15"/>
    <x v="0"/>
    <x v="0"/>
    <x v="4"/>
    <x v="2"/>
    <x v="5"/>
    <x v="8"/>
    <x v="0"/>
    <x v="0"/>
    <x v="0"/>
    <x v="0"/>
    <x v="8"/>
    <x v="0"/>
    <x v="0"/>
  </r>
  <r>
    <x v="16"/>
    <x v="2"/>
    <x v="16"/>
    <x v="15"/>
    <x v="16"/>
    <x v="3"/>
    <x v="0"/>
    <x v="6"/>
    <x v="0"/>
    <x v="2"/>
    <x v="13"/>
    <x v="1"/>
    <x v="1"/>
    <x v="0"/>
    <x v="0"/>
    <x v="10"/>
    <x v="0"/>
    <x v="0"/>
  </r>
  <r>
    <x v="17"/>
    <x v="3"/>
    <x v="17"/>
    <x v="16"/>
    <x v="17"/>
    <x v="4"/>
    <x v="3"/>
    <x v="7"/>
    <x v="2"/>
    <x v="1"/>
    <x v="14"/>
    <x v="0"/>
    <x v="0"/>
    <x v="0"/>
    <x v="1"/>
    <x v="11"/>
    <x v="0"/>
    <x v="1"/>
  </r>
  <r>
    <x v="18"/>
    <x v="3"/>
    <x v="18"/>
    <x v="17"/>
    <x v="18"/>
    <x v="2"/>
    <x v="0"/>
    <x v="1"/>
    <x v="2"/>
    <x v="6"/>
    <x v="3"/>
    <x v="0"/>
    <x v="0"/>
    <x v="0"/>
    <x v="0"/>
    <x v="5"/>
    <x v="0"/>
    <x v="0"/>
  </r>
  <r>
    <x v="19"/>
    <x v="3"/>
    <x v="19"/>
    <x v="18"/>
    <x v="19"/>
    <x v="2"/>
    <x v="2"/>
    <x v="5"/>
    <x v="2"/>
    <x v="2"/>
    <x v="15"/>
    <x v="0"/>
    <x v="0"/>
    <x v="0"/>
    <x v="0"/>
    <x v="12"/>
    <x v="0"/>
    <x v="0"/>
  </r>
  <r>
    <x v="20"/>
    <x v="3"/>
    <x v="20"/>
    <x v="19"/>
    <x v="20"/>
    <x v="4"/>
    <x v="4"/>
    <x v="5"/>
    <x v="0"/>
    <x v="6"/>
    <x v="16"/>
    <x v="0"/>
    <x v="0"/>
    <x v="0"/>
    <x v="0"/>
    <x v="8"/>
    <x v="0"/>
    <x v="0"/>
  </r>
  <r>
    <x v="21"/>
    <x v="3"/>
    <x v="21"/>
    <x v="20"/>
    <x v="21"/>
    <x v="2"/>
    <x v="3"/>
    <x v="5"/>
    <x v="0"/>
    <x v="2"/>
    <x v="17"/>
    <x v="0"/>
    <x v="0"/>
    <x v="0"/>
    <x v="0"/>
    <x v="13"/>
    <x v="0"/>
    <x v="0"/>
  </r>
  <r>
    <x v="22"/>
    <x v="3"/>
    <x v="22"/>
    <x v="21"/>
    <x v="22"/>
    <x v="2"/>
    <x v="2"/>
    <x v="1"/>
    <x v="0"/>
    <x v="2"/>
    <x v="18"/>
    <x v="0"/>
    <x v="0"/>
    <x v="0"/>
    <x v="0"/>
    <x v="14"/>
    <x v="0"/>
    <x v="0"/>
  </r>
  <r>
    <x v="23"/>
    <x v="4"/>
    <x v="23"/>
    <x v="22"/>
    <x v="23"/>
    <x v="3"/>
    <x v="0"/>
    <x v="5"/>
    <x v="0"/>
    <x v="4"/>
    <x v="19"/>
    <x v="0"/>
    <x v="0"/>
    <x v="0"/>
    <x v="0"/>
    <x v="12"/>
    <x v="0"/>
    <x v="0"/>
  </r>
  <r>
    <x v="24"/>
    <x v="4"/>
    <x v="24"/>
    <x v="23"/>
    <x v="24"/>
    <x v="3"/>
    <x v="3"/>
    <x v="2"/>
    <x v="0"/>
    <x v="4"/>
    <x v="20"/>
    <x v="0"/>
    <x v="0"/>
    <x v="0"/>
    <x v="0"/>
    <x v="5"/>
    <x v="0"/>
    <x v="0"/>
  </r>
  <r>
    <x v="25"/>
    <x v="4"/>
    <x v="25"/>
    <x v="24"/>
    <x v="25"/>
    <x v="0"/>
    <x v="2"/>
    <x v="1"/>
    <x v="0"/>
    <x v="0"/>
    <x v="21"/>
    <x v="0"/>
    <x v="0"/>
    <x v="0"/>
    <x v="0"/>
    <x v="15"/>
    <x v="0"/>
    <x v="0"/>
  </r>
  <r>
    <x v="26"/>
    <x v="4"/>
    <x v="26"/>
    <x v="25"/>
    <x v="26"/>
    <x v="2"/>
    <x v="0"/>
    <x v="5"/>
    <x v="2"/>
    <x v="1"/>
    <x v="22"/>
    <x v="0"/>
    <x v="0"/>
    <x v="0"/>
    <x v="0"/>
    <x v="13"/>
    <x v="0"/>
    <x v="0"/>
  </r>
  <r>
    <x v="27"/>
    <x v="4"/>
    <x v="27"/>
    <x v="1"/>
    <x v="27"/>
    <x v="2"/>
    <x v="0"/>
    <x v="1"/>
    <x v="2"/>
    <x v="3"/>
    <x v="23"/>
    <x v="0"/>
    <x v="0"/>
    <x v="0"/>
    <x v="0"/>
    <x v="11"/>
    <x v="0"/>
    <x v="0"/>
  </r>
  <r>
    <x v="28"/>
    <x v="5"/>
    <x v="28"/>
    <x v="26"/>
    <x v="28"/>
    <x v="1"/>
    <x v="4"/>
    <x v="6"/>
    <x v="2"/>
    <x v="3"/>
    <x v="24"/>
    <x v="0"/>
    <x v="0"/>
    <x v="0"/>
    <x v="0"/>
    <x v="13"/>
    <x v="0"/>
    <x v="0"/>
  </r>
  <r>
    <x v="29"/>
    <x v="5"/>
    <x v="29"/>
    <x v="27"/>
    <x v="29"/>
    <x v="3"/>
    <x v="2"/>
    <x v="3"/>
    <x v="0"/>
    <x v="3"/>
    <x v="5"/>
    <x v="0"/>
    <x v="0"/>
    <x v="0"/>
    <x v="0"/>
    <x v="16"/>
    <x v="0"/>
    <x v="0"/>
  </r>
  <r>
    <x v="30"/>
    <x v="5"/>
    <x v="30"/>
    <x v="28"/>
    <x v="30"/>
    <x v="3"/>
    <x v="3"/>
    <x v="3"/>
    <x v="0"/>
    <x v="2"/>
    <x v="25"/>
    <x v="0"/>
    <x v="0"/>
    <x v="0"/>
    <x v="0"/>
    <x v="17"/>
    <x v="0"/>
    <x v="0"/>
  </r>
  <r>
    <x v="31"/>
    <x v="5"/>
    <x v="31"/>
    <x v="29"/>
    <x v="31"/>
    <x v="2"/>
    <x v="3"/>
    <x v="2"/>
    <x v="0"/>
    <x v="4"/>
    <x v="20"/>
    <x v="0"/>
    <x v="0"/>
    <x v="0"/>
    <x v="0"/>
    <x v="18"/>
    <x v="0"/>
    <x v="0"/>
  </r>
  <r>
    <x v="32"/>
    <x v="5"/>
    <x v="32"/>
    <x v="30"/>
    <x v="32"/>
    <x v="1"/>
    <x v="2"/>
    <x v="8"/>
    <x v="0"/>
    <x v="1"/>
    <x v="2"/>
    <x v="0"/>
    <x v="0"/>
    <x v="0"/>
    <x v="0"/>
    <x v="2"/>
    <x v="0"/>
    <x v="0"/>
  </r>
  <r>
    <x v="33"/>
    <x v="5"/>
    <x v="33"/>
    <x v="31"/>
    <x v="33"/>
    <x v="3"/>
    <x v="1"/>
    <x v="0"/>
    <x v="0"/>
    <x v="2"/>
    <x v="19"/>
    <x v="0"/>
    <x v="0"/>
    <x v="0"/>
    <x v="0"/>
    <x v="2"/>
    <x v="0"/>
    <x v="0"/>
  </r>
  <r>
    <x v="34"/>
    <x v="6"/>
    <x v="34"/>
    <x v="22"/>
    <x v="34"/>
    <x v="1"/>
    <x v="1"/>
    <x v="5"/>
    <x v="0"/>
    <x v="6"/>
    <x v="26"/>
    <x v="0"/>
    <x v="0"/>
    <x v="0"/>
    <x v="0"/>
    <x v="6"/>
    <x v="0"/>
    <x v="0"/>
  </r>
  <r>
    <x v="35"/>
    <x v="6"/>
    <x v="35"/>
    <x v="32"/>
    <x v="35"/>
    <x v="3"/>
    <x v="0"/>
    <x v="0"/>
    <x v="0"/>
    <x v="4"/>
    <x v="27"/>
    <x v="0"/>
    <x v="0"/>
    <x v="0"/>
    <x v="0"/>
    <x v="13"/>
    <x v="0"/>
    <x v="0"/>
  </r>
  <r>
    <x v="36"/>
    <x v="6"/>
    <x v="36"/>
    <x v="33"/>
    <x v="36"/>
    <x v="2"/>
    <x v="1"/>
    <x v="1"/>
    <x v="2"/>
    <x v="4"/>
    <x v="15"/>
    <x v="0"/>
    <x v="0"/>
    <x v="0"/>
    <x v="0"/>
    <x v="7"/>
    <x v="0"/>
    <x v="0"/>
  </r>
  <r>
    <x v="37"/>
    <x v="6"/>
    <x v="37"/>
    <x v="34"/>
    <x v="37"/>
    <x v="3"/>
    <x v="3"/>
    <x v="0"/>
    <x v="0"/>
    <x v="5"/>
    <x v="12"/>
    <x v="0"/>
    <x v="0"/>
    <x v="0"/>
    <x v="0"/>
    <x v="1"/>
    <x v="0"/>
    <x v="0"/>
  </r>
  <r>
    <x v="38"/>
    <x v="6"/>
    <x v="38"/>
    <x v="35"/>
    <x v="38"/>
    <x v="2"/>
    <x v="2"/>
    <x v="2"/>
    <x v="2"/>
    <x v="5"/>
    <x v="7"/>
    <x v="0"/>
    <x v="0"/>
    <x v="0"/>
    <x v="0"/>
    <x v="10"/>
    <x v="0"/>
    <x v="0"/>
  </r>
  <r>
    <x v="39"/>
    <x v="7"/>
    <x v="39"/>
    <x v="36"/>
    <x v="39"/>
    <x v="3"/>
    <x v="4"/>
    <x v="2"/>
    <x v="0"/>
    <x v="1"/>
    <x v="9"/>
    <x v="1"/>
    <x v="1"/>
    <x v="0"/>
    <x v="0"/>
    <x v="19"/>
    <x v="0"/>
    <x v="0"/>
  </r>
  <r>
    <x v="40"/>
    <x v="7"/>
    <x v="40"/>
    <x v="37"/>
    <x v="40"/>
    <x v="1"/>
    <x v="1"/>
    <x v="4"/>
    <x v="0"/>
    <x v="6"/>
    <x v="16"/>
    <x v="0"/>
    <x v="0"/>
    <x v="0"/>
    <x v="0"/>
    <x v="6"/>
    <x v="0"/>
    <x v="0"/>
  </r>
  <r>
    <x v="41"/>
    <x v="7"/>
    <x v="41"/>
    <x v="8"/>
    <x v="41"/>
    <x v="3"/>
    <x v="2"/>
    <x v="3"/>
    <x v="0"/>
    <x v="1"/>
    <x v="28"/>
    <x v="0"/>
    <x v="0"/>
    <x v="0"/>
    <x v="0"/>
    <x v="0"/>
    <x v="0"/>
    <x v="0"/>
  </r>
  <r>
    <x v="42"/>
    <x v="7"/>
    <x v="42"/>
    <x v="38"/>
    <x v="42"/>
    <x v="3"/>
    <x v="2"/>
    <x v="5"/>
    <x v="0"/>
    <x v="1"/>
    <x v="29"/>
    <x v="0"/>
    <x v="0"/>
    <x v="0"/>
    <x v="0"/>
    <x v="5"/>
    <x v="0"/>
    <x v="1"/>
  </r>
  <r>
    <x v="43"/>
    <x v="7"/>
    <x v="43"/>
    <x v="5"/>
    <x v="43"/>
    <x v="3"/>
    <x v="2"/>
    <x v="4"/>
    <x v="0"/>
    <x v="2"/>
    <x v="30"/>
    <x v="0"/>
    <x v="0"/>
    <x v="0"/>
    <x v="0"/>
    <x v="20"/>
    <x v="0"/>
    <x v="0"/>
  </r>
  <r>
    <x v="44"/>
    <x v="7"/>
    <x v="44"/>
    <x v="39"/>
    <x v="44"/>
    <x v="1"/>
    <x v="2"/>
    <x v="0"/>
    <x v="0"/>
    <x v="0"/>
    <x v="19"/>
    <x v="0"/>
    <x v="0"/>
    <x v="0"/>
    <x v="0"/>
    <x v="0"/>
    <x v="0"/>
    <x v="0"/>
  </r>
  <r>
    <x v="45"/>
    <x v="8"/>
    <x v="45"/>
    <x v="40"/>
    <x v="45"/>
    <x v="2"/>
    <x v="0"/>
    <x v="8"/>
    <x v="0"/>
    <x v="1"/>
    <x v="31"/>
    <x v="0"/>
    <x v="0"/>
    <x v="0"/>
    <x v="0"/>
    <x v="21"/>
    <x v="0"/>
    <x v="0"/>
  </r>
  <r>
    <x v="46"/>
    <x v="8"/>
    <x v="46"/>
    <x v="41"/>
    <x v="46"/>
    <x v="3"/>
    <x v="1"/>
    <x v="4"/>
    <x v="0"/>
    <x v="5"/>
    <x v="32"/>
    <x v="0"/>
    <x v="0"/>
    <x v="0"/>
    <x v="0"/>
    <x v="9"/>
    <x v="0"/>
    <x v="0"/>
  </r>
  <r>
    <x v="47"/>
    <x v="8"/>
    <x v="47"/>
    <x v="42"/>
    <x v="47"/>
    <x v="2"/>
    <x v="0"/>
    <x v="4"/>
    <x v="0"/>
    <x v="0"/>
    <x v="4"/>
    <x v="0"/>
    <x v="0"/>
    <x v="0"/>
    <x v="0"/>
    <x v="22"/>
    <x v="0"/>
    <x v="0"/>
  </r>
  <r>
    <x v="48"/>
    <x v="8"/>
    <x v="48"/>
    <x v="43"/>
    <x v="48"/>
    <x v="4"/>
    <x v="1"/>
    <x v="2"/>
    <x v="2"/>
    <x v="2"/>
    <x v="29"/>
    <x v="0"/>
    <x v="0"/>
    <x v="0"/>
    <x v="0"/>
    <x v="21"/>
    <x v="0"/>
    <x v="0"/>
  </r>
  <r>
    <x v="49"/>
    <x v="8"/>
    <x v="49"/>
    <x v="44"/>
    <x v="49"/>
    <x v="2"/>
    <x v="1"/>
    <x v="8"/>
    <x v="0"/>
    <x v="0"/>
    <x v="25"/>
    <x v="0"/>
    <x v="0"/>
    <x v="0"/>
    <x v="0"/>
    <x v="20"/>
    <x v="0"/>
    <x v="0"/>
  </r>
  <r>
    <x v="50"/>
    <x v="9"/>
    <x v="50"/>
    <x v="45"/>
    <x v="50"/>
    <x v="3"/>
    <x v="2"/>
    <x v="1"/>
    <x v="2"/>
    <x v="3"/>
    <x v="28"/>
    <x v="0"/>
    <x v="0"/>
    <x v="0"/>
    <x v="0"/>
    <x v="5"/>
    <x v="0"/>
    <x v="0"/>
  </r>
  <r>
    <x v="51"/>
    <x v="9"/>
    <x v="51"/>
    <x v="46"/>
    <x v="51"/>
    <x v="1"/>
    <x v="4"/>
    <x v="0"/>
    <x v="0"/>
    <x v="6"/>
    <x v="5"/>
    <x v="0"/>
    <x v="0"/>
    <x v="0"/>
    <x v="0"/>
    <x v="12"/>
    <x v="0"/>
    <x v="0"/>
  </r>
  <r>
    <x v="52"/>
    <x v="9"/>
    <x v="1"/>
    <x v="47"/>
    <x v="52"/>
    <x v="3"/>
    <x v="2"/>
    <x v="4"/>
    <x v="1"/>
    <x v="0"/>
    <x v="28"/>
    <x v="0"/>
    <x v="0"/>
    <x v="0"/>
    <x v="0"/>
    <x v="1"/>
    <x v="0"/>
    <x v="0"/>
  </r>
  <r>
    <x v="53"/>
    <x v="9"/>
    <x v="52"/>
    <x v="48"/>
    <x v="53"/>
    <x v="3"/>
    <x v="3"/>
    <x v="8"/>
    <x v="2"/>
    <x v="1"/>
    <x v="24"/>
    <x v="0"/>
    <x v="0"/>
    <x v="0"/>
    <x v="0"/>
    <x v="2"/>
    <x v="0"/>
    <x v="0"/>
  </r>
  <r>
    <x v="54"/>
    <x v="9"/>
    <x v="53"/>
    <x v="35"/>
    <x v="54"/>
    <x v="0"/>
    <x v="1"/>
    <x v="3"/>
    <x v="0"/>
    <x v="2"/>
    <x v="13"/>
    <x v="0"/>
    <x v="0"/>
    <x v="0"/>
    <x v="0"/>
    <x v="0"/>
    <x v="0"/>
    <x v="0"/>
  </r>
  <r>
    <x v="55"/>
    <x v="9"/>
    <x v="54"/>
    <x v="49"/>
    <x v="55"/>
    <x v="3"/>
    <x v="2"/>
    <x v="5"/>
    <x v="0"/>
    <x v="6"/>
    <x v="28"/>
    <x v="2"/>
    <x v="0"/>
    <x v="0"/>
    <x v="0"/>
    <x v="13"/>
    <x v="0"/>
    <x v="0"/>
  </r>
  <r>
    <x v="56"/>
    <x v="10"/>
    <x v="55"/>
    <x v="39"/>
    <x v="56"/>
    <x v="1"/>
    <x v="0"/>
    <x v="8"/>
    <x v="2"/>
    <x v="1"/>
    <x v="33"/>
    <x v="0"/>
    <x v="0"/>
    <x v="0"/>
    <x v="0"/>
    <x v="4"/>
    <x v="0"/>
    <x v="0"/>
  </r>
  <r>
    <x v="57"/>
    <x v="10"/>
    <x v="56"/>
    <x v="50"/>
    <x v="57"/>
    <x v="2"/>
    <x v="0"/>
    <x v="3"/>
    <x v="0"/>
    <x v="6"/>
    <x v="19"/>
    <x v="0"/>
    <x v="0"/>
    <x v="0"/>
    <x v="0"/>
    <x v="2"/>
    <x v="0"/>
    <x v="0"/>
  </r>
  <r>
    <x v="58"/>
    <x v="10"/>
    <x v="57"/>
    <x v="45"/>
    <x v="58"/>
    <x v="2"/>
    <x v="1"/>
    <x v="0"/>
    <x v="0"/>
    <x v="5"/>
    <x v="34"/>
    <x v="0"/>
    <x v="0"/>
    <x v="0"/>
    <x v="0"/>
    <x v="10"/>
    <x v="0"/>
    <x v="0"/>
  </r>
  <r>
    <x v="59"/>
    <x v="10"/>
    <x v="58"/>
    <x v="1"/>
    <x v="59"/>
    <x v="1"/>
    <x v="1"/>
    <x v="8"/>
    <x v="0"/>
    <x v="3"/>
    <x v="23"/>
    <x v="0"/>
    <x v="0"/>
    <x v="0"/>
    <x v="0"/>
    <x v="22"/>
    <x v="0"/>
    <x v="0"/>
  </r>
  <r>
    <x v="60"/>
    <x v="10"/>
    <x v="59"/>
    <x v="17"/>
    <x v="60"/>
    <x v="3"/>
    <x v="0"/>
    <x v="3"/>
    <x v="2"/>
    <x v="5"/>
    <x v="15"/>
    <x v="0"/>
    <x v="0"/>
    <x v="0"/>
    <x v="0"/>
    <x v="16"/>
    <x v="0"/>
    <x v="0"/>
  </r>
  <r>
    <x v="61"/>
    <x v="10"/>
    <x v="60"/>
    <x v="51"/>
    <x v="61"/>
    <x v="3"/>
    <x v="0"/>
    <x v="8"/>
    <x v="2"/>
    <x v="1"/>
    <x v="10"/>
    <x v="3"/>
    <x v="1"/>
    <x v="0"/>
    <x v="0"/>
    <x v="9"/>
    <x v="0"/>
    <x v="0"/>
  </r>
  <r>
    <x v="62"/>
    <x v="11"/>
    <x v="61"/>
    <x v="52"/>
    <x v="62"/>
    <x v="1"/>
    <x v="0"/>
    <x v="8"/>
    <x v="0"/>
    <x v="1"/>
    <x v="23"/>
    <x v="0"/>
    <x v="0"/>
    <x v="0"/>
    <x v="0"/>
    <x v="21"/>
    <x v="0"/>
    <x v="0"/>
  </r>
  <r>
    <x v="63"/>
    <x v="11"/>
    <x v="62"/>
    <x v="53"/>
    <x v="63"/>
    <x v="3"/>
    <x v="4"/>
    <x v="5"/>
    <x v="0"/>
    <x v="1"/>
    <x v="0"/>
    <x v="0"/>
    <x v="0"/>
    <x v="0"/>
    <x v="0"/>
    <x v="4"/>
    <x v="0"/>
    <x v="0"/>
  </r>
  <r>
    <x v="64"/>
    <x v="11"/>
    <x v="63"/>
    <x v="54"/>
    <x v="64"/>
    <x v="3"/>
    <x v="0"/>
    <x v="3"/>
    <x v="0"/>
    <x v="4"/>
    <x v="1"/>
    <x v="1"/>
    <x v="1"/>
    <x v="0"/>
    <x v="0"/>
    <x v="9"/>
    <x v="0"/>
    <x v="0"/>
  </r>
  <r>
    <x v="65"/>
    <x v="11"/>
    <x v="64"/>
    <x v="55"/>
    <x v="65"/>
    <x v="3"/>
    <x v="1"/>
    <x v="3"/>
    <x v="0"/>
    <x v="3"/>
    <x v="35"/>
    <x v="0"/>
    <x v="0"/>
    <x v="0"/>
    <x v="0"/>
    <x v="12"/>
    <x v="0"/>
    <x v="0"/>
  </r>
  <r>
    <x v="66"/>
    <x v="11"/>
    <x v="65"/>
    <x v="56"/>
    <x v="66"/>
    <x v="3"/>
    <x v="0"/>
    <x v="4"/>
    <x v="1"/>
    <x v="6"/>
    <x v="7"/>
    <x v="0"/>
    <x v="0"/>
    <x v="0"/>
    <x v="0"/>
    <x v="14"/>
    <x v="0"/>
    <x v="0"/>
  </r>
  <r>
    <x v="67"/>
    <x v="12"/>
    <x v="66"/>
    <x v="57"/>
    <x v="67"/>
    <x v="3"/>
    <x v="2"/>
    <x v="0"/>
    <x v="0"/>
    <x v="1"/>
    <x v="7"/>
    <x v="0"/>
    <x v="0"/>
    <x v="0"/>
    <x v="0"/>
    <x v="11"/>
    <x v="0"/>
    <x v="0"/>
  </r>
  <r>
    <x v="68"/>
    <x v="12"/>
    <x v="67"/>
    <x v="58"/>
    <x v="68"/>
    <x v="3"/>
    <x v="0"/>
    <x v="5"/>
    <x v="0"/>
    <x v="1"/>
    <x v="17"/>
    <x v="0"/>
    <x v="0"/>
    <x v="0"/>
    <x v="0"/>
    <x v="17"/>
    <x v="0"/>
    <x v="0"/>
  </r>
  <r>
    <x v="69"/>
    <x v="12"/>
    <x v="68"/>
    <x v="59"/>
    <x v="69"/>
    <x v="1"/>
    <x v="0"/>
    <x v="8"/>
    <x v="0"/>
    <x v="6"/>
    <x v="30"/>
    <x v="0"/>
    <x v="0"/>
    <x v="0"/>
    <x v="0"/>
    <x v="9"/>
    <x v="0"/>
    <x v="0"/>
  </r>
  <r>
    <x v="70"/>
    <x v="12"/>
    <x v="69"/>
    <x v="60"/>
    <x v="70"/>
    <x v="2"/>
    <x v="1"/>
    <x v="8"/>
    <x v="2"/>
    <x v="5"/>
    <x v="30"/>
    <x v="0"/>
    <x v="0"/>
    <x v="0"/>
    <x v="0"/>
    <x v="11"/>
    <x v="0"/>
    <x v="1"/>
  </r>
  <r>
    <x v="71"/>
    <x v="12"/>
    <x v="70"/>
    <x v="61"/>
    <x v="71"/>
    <x v="4"/>
    <x v="0"/>
    <x v="4"/>
    <x v="0"/>
    <x v="5"/>
    <x v="24"/>
    <x v="0"/>
    <x v="0"/>
    <x v="0"/>
    <x v="0"/>
    <x v="21"/>
    <x v="0"/>
    <x v="0"/>
  </r>
  <r>
    <x v="72"/>
    <x v="12"/>
    <x v="71"/>
    <x v="62"/>
    <x v="72"/>
    <x v="3"/>
    <x v="0"/>
    <x v="0"/>
    <x v="0"/>
    <x v="1"/>
    <x v="0"/>
    <x v="0"/>
    <x v="0"/>
    <x v="0"/>
    <x v="0"/>
    <x v="13"/>
    <x v="0"/>
    <x v="0"/>
  </r>
  <r>
    <x v="73"/>
    <x v="13"/>
    <x v="72"/>
    <x v="63"/>
    <x v="73"/>
    <x v="3"/>
    <x v="0"/>
    <x v="2"/>
    <x v="0"/>
    <x v="2"/>
    <x v="1"/>
    <x v="2"/>
    <x v="0"/>
    <x v="0"/>
    <x v="0"/>
    <x v="12"/>
    <x v="0"/>
    <x v="0"/>
  </r>
  <r>
    <x v="74"/>
    <x v="13"/>
    <x v="73"/>
    <x v="14"/>
    <x v="74"/>
    <x v="3"/>
    <x v="0"/>
    <x v="5"/>
    <x v="0"/>
    <x v="4"/>
    <x v="18"/>
    <x v="0"/>
    <x v="0"/>
    <x v="0"/>
    <x v="0"/>
    <x v="17"/>
    <x v="0"/>
    <x v="0"/>
  </r>
  <r>
    <x v="75"/>
    <x v="13"/>
    <x v="74"/>
    <x v="64"/>
    <x v="75"/>
    <x v="2"/>
    <x v="0"/>
    <x v="4"/>
    <x v="0"/>
    <x v="5"/>
    <x v="27"/>
    <x v="0"/>
    <x v="0"/>
    <x v="0"/>
    <x v="0"/>
    <x v="9"/>
    <x v="0"/>
    <x v="0"/>
  </r>
  <r>
    <x v="76"/>
    <x v="13"/>
    <x v="75"/>
    <x v="65"/>
    <x v="76"/>
    <x v="2"/>
    <x v="0"/>
    <x v="0"/>
    <x v="0"/>
    <x v="2"/>
    <x v="35"/>
    <x v="2"/>
    <x v="0"/>
    <x v="0"/>
    <x v="0"/>
    <x v="22"/>
    <x v="0"/>
    <x v="0"/>
  </r>
  <r>
    <x v="77"/>
    <x v="13"/>
    <x v="76"/>
    <x v="51"/>
    <x v="77"/>
    <x v="3"/>
    <x v="3"/>
    <x v="5"/>
    <x v="0"/>
    <x v="4"/>
    <x v="8"/>
    <x v="0"/>
    <x v="0"/>
    <x v="0"/>
    <x v="0"/>
    <x v="18"/>
    <x v="0"/>
    <x v="0"/>
  </r>
  <r>
    <x v="78"/>
    <x v="14"/>
    <x v="52"/>
    <x v="1"/>
    <x v="78"/>
    <x v="0"/>
    <x v="2"/>
    <x v="8"/>
    <x v="1"/>
    <x v="1"/>
    <x v="7"/>
    <x v="3"/>
    <x v="1"/>
    <x v="0"/>
    <x v="0"/>
    <x v="2"/>
    <x v="0"/>
    <x v="0"/>
  </r>
  <r>
    <x v="79"/>
    <x v="14"/>
    <x v="77"/>
    <x v="66"/>
    <x v="79"/>
    <x v="3"/>
    <x v="1"/>
    <x v="0"/>
    <x v="2"/>
    <x v="3"/>
    <x v="1"/>
    <x v="0"/>
    <x v="0"/>
    <x v="0"/>
    <x v="0"/>
    <x v="4"/>
    <x v="0"/>
    <x v="0"/>
  </r>
  <r>
    <x v="80"/>
    <x v="14"/>
    <x v="78"/>
    <x v="67"/>
    <x v="80"/>
    <x v="1"/>
    <x v="0"/>
    <x v="0"/>
    <x v="1"/>
    <x v="0"/>
    <x v="2"/>
    <x v="0"/>
    <x v="0"/>
    <x v="0"/>
    <x v="0"/>
    <x v="22"/>
    <x v="0"/>
    <x v="0"/>
  </r>
  <r>
    <x v="81"/>
    <x v="14"/>
    <x v="79"/>
    <x v="58"/>
    <x v="81"/>
    <x v="2"/>
    <x v="4"/>
    <x v="1"/>
    <x v="0"/>
    <x v="0"/>
    <x v="36"/>
    <x v="0"/>
    <x v="0"/>
    <x v="0"/>
    <x v="0"/>
    <x v="7"/>
    <x v="0"/>
    <x v="0"/>
  </r>
  <r>
    <x v="82"/>
    <x v="14"/>
    <x v="80"/>
    <x v="68"/>
    <x v="82"/>
    <x v="4"/>
    <x v="1"/>
    <x v="0"/>
    <x v="1"/>
    <x v="1"/>
    <x v="26"/>
    <x v="0"/>
    <x v="0"/>
    <x v="0"/>
    <x v="0"/>
    <x v="4"/>
    <x v="0"/>
    <x v="0"/>
  </r>
  <r>
    <x v="83"/>
    <x v="14"/>
    <x v="81"/>
    <x v="69"/>
    <x v="83"/>
    <x v="2"/>
    <x v="0"/>
    <x v="2"/>
    <x v="0"/>
    <x v="5"/>
    <x v="17"/>
    <x v="0"/>
    <x v="0"/>
    <x v="0"/>
    <x v="0"/>
    <x v="5"/>
    <x v="0"/>
    <x v="0"/>
  </r>
  <r>
    <x v="84"/>
    <x v="15"/>
    <x v="82"/>
    <x v="70"/>
    <x v="84"/>
    <x v="4"/>
    <x v="2"/>
    <x v="0"/>
    <x v="0"/>
    <x v="2"/>
    <x v="1"/>
    <x v="0"/>
    <x v="0"/>
    <x v="0"/>
    <x v="0"/>
    <x v="18"/>
    <x v="0"/>
    <x v="1"/>
  </r>
  <r>
    <x v="85"/>
    <x v="15"/>
    <x v="83"/>
    <x v="71"/>
    <x v="85"/>
    <x v="5"/>
    <x v="0"/>
    <x v="2"/>
    <x v="0"/>
    <x v="3"/>
    <x v="36"/>
    <x v="0"/>
    <x v="0"/>
    <x v="0"/>
    <x v="1"/>
    <x v="23"/>
    <x v="0"/>
    <x v="0"/>
  </r>
  <r>
    <x v="86"/>
    <x v="15"/>
    <x v="84"/>
    <x v="72"/>
    <x v="10"/>
    <x v="4"/>
    <x v="1"/>
    <x v="8"/>
    <x v="0"/>
    <x v="6"/>
    <x v="8"/>
    <x v="0"/>
    <x v="0"/>
    <x v="0"/>
    <x v="0"/>
    <x v="21"/>
    <x v="0"/>
    <x v="0"/>
  </r>
  <r>
    <x v="87"/>
    <x v="15"/>
    <x v="85"/>
    <x v="73"/>
    <x v="86"/>
    <x v="3"/>
    <x v="1"/>
    <x v="2"/>
    <x v="0"/>
    <x v="4"/>
    <x v="4"/>
    <x v="0"/>
    <x v="0"/>
    <x v="0"/>
    <x v="0"/>
    <x v="2"/>
    <x v="0"/>
    <x v="0"/>
  </r>
  <r>
    <x v="88"/>
    <x v="15"/>
    <x v="86"/>
    <x v="61"/>
    <x v="87"/>
    <x v="4"/>
    <x v="3"/>
    <x v="5"/>
    <x v="0"/>
    <x v="1"/>
    <x v="28"/>
    <x v="2"/>
    <x v="0"/>
    <x v="0"/>
    <x v="0"/>
    <x v="5"/>
    <x v="0"/>
    <x v="0"/>
  </r>
  <r>
    <x v="89"/>
    <x v="16"/>
    <x v="11"/>
    <x v="74"/>
    <x v="88"/>
    <x v="1"/>
    <x v="1"/>
    <x v="8"/>
    <x v="0"/>
    <x v="3"/>
    <x v="37"/>
    <x v="0"/>
    <x v="0"/>
    <x v="0"/>
    <x v="0"/>
    <x v="8"/>
    <x v="0"/>
    <x v="0"/>
  </r>
  <r>
    <x v="90"/>
    <x v="16"/>
    <x v="87"/>
    <x v="75"/>
    <x v="89"/>
    <x v="4"/>
    <x v="2"/>
    <x v="8"/>
    <x v="0"/>
    <x v="3"/>
    <x v="5"/>
    <x v="0"/>
    <x v="0"/>
    <x v="0"/>
    <x v="0"/>
    <x v="23"/>
    <x v="0"/>
    <x v="0"/>
  </r>
  <r>
    <x v="91"/>
    <x v="16"/>
    <x v="88"/>
    <x v="44"/>
    <x v="90"/>
    <x v="1"/>
    <x v="4"/>
    <x v="2"/>
    <x v="0"/>
    <x v="5"/>
    <x v="25"/>
    <x v="0"/>
    <x v="0"/>
    <x v="0"/>
    <x v="0"/>
    <x v="20"/>
    <x v="0"/>
    <x v="0"/>
  </r>
  <r>
    <x v="92"/>
    <x v="16"/>
    <x v="89"/>
    <x v="35"/>
    <x v="91"/>
    <x v="2"/>
    <x v="0"/>
    <x v="3"/>
    <x v="0"/>
    <x v="4"/>
    <x v="2"/>
    <x v="0"/>
    <x v="0"/>
    <x v="0"/>
    <x v="0"/>
    <x v="2"/>
    <x v="0"/>
    <x v="0"/>
  </r>
  <r>
    <x v="93"/>
    <x v="16"/>
    <x v="90"/>
    <x v="6"/>
    <x v="92"/>
    <x v="1"/>
    <x v="0"/>
    <x v="4"/>
    <x v="0"/>
    <x v="3"/>
    <x v="38"/>
    <x v="0"/>
    <x v="0"/>
    <x v="0"/>
    <x v="0"/>
    <x v="23"/>
    <x v="0"/>
    <x v="0"/>
  </r>
  <r>
    <x v="94"/>
    <x v="16"/>
    <x v="91"/>
    <x v="76"/>
    <x v="93"/>
    <x v="2"/>
    <x v="1"/>
    <x v="6"/>
    <x v="2"/>
    <x v="5"/>
    <x v="39"/>
    <x v="0"/>
    <x v="1"/>
    <x v="0"/>
    <x v="0"/>
    <x v="15"/>
    <x v="0"/>
    <x v="0"/>
  </r>
  <r>
    <x v="95"/>
    <x v="17"/>
    <x v="92"/>
    <x v="77"/>
    <x v="94"/>
    <x v="3"/>
    <x v="1"/>
    <x v="3"/>
    <x v="2"/>
    <x v="2"/>
    <x v="37"/>
    <x v="0"/>
    <x v="0"/>
    <x v="0"/>
    <x v="0"/>
    <x v="0"/>
    <x v="0"/>
    <x v="0"/>
  </r>
  <r>
    <x v="96"/>
    <x v="17"/>
    <x v="43"/>
    <x v="78"/>
    <x v="95"/>
    <x v="3"/>
    <x v="1"/>
    <x v="0"/>
    <x v="0"/>
    <x v="5"/>
    <x v="40"/>
    <x v="0"/>
    <x v="0"/>
    <x v="0"/>
    <x v="0"/>
    <x v="20"/>
    <x v="0"/>
    <x v="0"/>
  </r>
  <r>
    <x v="97"/>
    <x v="17"/>
    <x v="93"/>
    <x v="79"/>
    <x v="96"/>
    <x v="3"/>
    <x v="4"/>
    <x v="1"/>
    <x v="0"/>
    <x v="2"/>
    <x v="12"/>
    <x v="0"/>
    <x v="0"/>
    <x v="0"/>
    <x v="0"/>
    <x v="8"/>
    <x v="0"/>
    <x v="0"/>
  </r>
  <r>
    <x v="98"/>
    <x v="17"/>
    <x v="94"/>
    <x v="27"/>
    <x v="97"/>
    <x v="3"/>
    <x v="2"/>
    <x v="6"/>
    <x v="0"/>
    <x v="2"/>
    <x v="0"/>
    <x v="1"/>
    <x v="1"/>
    <x v="0"/>
    <x v="0"/>
    <x v="15"/>
    <x v="0"/>
    <x v="0"/>
  </r>
  <r>
    <x v="99"/>
    <x v="17"/>
    <x v="95"/>
    <x v="80"/>
    <x v="98"/>
    <x v="4"/>
    <x v="2"/>
    <x v="0"/>
    <x v="2"/>
    <x v="6"/>
    <x v="37"/>
    <x v="0"/>
    <x v="0"/>
    <x v="0"/>
    <x v="0"/>
    <x v="13"/>
    <x v="0"/>
    <x v="0"/>
  </r>
  <r>
    <x v="100"/>
    <x v="18"/>
    <x v="96"/>
    <x v="81"/>
    <x v="99"/>
    <x v="3"/>
    <x v="0"/>
    <x v="3"/>
    <x v="0"/>
    <x v="6"/>
    <x v="40"/>
    <x v="0"/>
    <x v="0"/>
    <x v="0"/>
    <x v="0"/>
    <x v="4"/>
    <x v="0"/>
    <x v="0"/>
  </r>
  <r>
    <x v="101"/>
    <x v="18"/>
    <x v="97"/>
    <x v="82"/>
    <x v="100"/>
    <x v="0"/>
    <x v="3"/>
    <x v="3"/>
    <x v="0"/>
    <x v="3"/>
    <x v="11"/>
    <x v="0"/>
    <x v="0"/>
    <x v="0"/>
    <x v="0"/>
    <x v="8"/>
    <x v="0"/>
    <x v="0"/>
  </r>
  <r>
    <x v="102"/>
    <x v="18"/>
    <x v="98"/>
    <x v="83"/>
    <x v="101"/>
    <x v="3"/>
    <x v="4"/>
    <x v="0"/>
    <x v="0"/>
    <x v="5"/>
    <x v="2"/>
    <x v="0"/>
    <x v="0"/>
    <x v="0"/>
    <x v="0"/>
    <x v="3"/>
    <x v="0"/>
    <x v="0"/>
  </r>
  <r>
    <x v="103"/>
    <x v="18"/>
    <x v="99"/>
    <x v="84"/>
    <x v="102"/>
    <x v="3"/>
    <x v="3"/>
    <x v="8"/>
    <x v="0"/>
    <x v="6"/>
    <x v="26"/>
    <x v="0"/>
    <x v="0"/>
    <x v="0"/>
    <x v="0"/>
    <x v="6"/>
    <x v="0"/>
    <x v="0"/>
  </r>
  <r>
    <x v="104"/>
    <x v="18"/>
    <x v="100"/>
    <x v="46"/>
    <x v="103"/>
    <x v="2"/>
    <x v="0"/>
    <x v="0"/>
    <x v="0"/>
    <x v="2"/>
    <x v="30"/>
    <x v="0"/>
    <x v="0"/>
    <x v="0"/>
    <x v="0"/>
    <x v="16"/>
    <x v="0"/>
    <x v="0"/>
  </r>
  <r>
    <x v="105"/>
    <x v="18"/>
    <x v="101"/>
    <x v="3"/>
    <x v="104"/>
    <x v="2"/>
    <x v="2"/>
    <x v="1"/>
    <x v="2"/>
    <x v="6"/>
    <x v="7"/>
    <x v="0"/>
    <x v="0"/>
    <x v="0"/>
    <x v="0"/>
    <x v="4"/>
    <x v="0"/>
    <x v="0"/>
  </r>
  <r>
    <x v="106"/>
    <x v="19"/>
    <x v="102"/>
    <x v="85"/>
    <x v="105"/>
    <x v="1"/>
    <x v="0"/>
    <x v="3"/>
    <x v="0"/>
    <x v="4"/>
    <x v="39"/>
    <x v="0"/>
    <x v="0"/>
    <x v="0"/>
    <x v="0"/>
    <x v="10"/>
    <x v="0"/>
    <x v="0"/>
  </r>
  <r>
    <x v="107"/>
    <x v="19"/>
    <x v="103"/>
    <x v="86"/>
    <x v="106"/>
    <x v="1"/>
    <x v="0"/>
    <x v="0"/>
    <x v="0"/>
    <x v="3"/>
    <x v="26"/>
    <x v="0"/>
    <x v="0"/>
    <x v="0"/>
    <x v="0"/>
    <x v="10"/>
    <x v="0"/>
    <x v="0"/>
  </r>
  <r>
    <x v="108"/>
    <x v="19"/>
    <x v="104"/>
    <x v="80"/>
    <x v="107"/>
    <x v="2"/>
    <x v="0"/>
    <x v="2"/>
    <x v="2"/>
    <x v="5"/>
    <x v="1"/>
    <x v="0"/>
    <x v="1"/>
    <x v="0"/>
    <x v="0"/>
    <x v="15"/>
    <x v="0"/>
    <x v="0"/>
  </r>
  <r>
    <x v="109"/>
    <x v="19"/>
    <x v="105"/>
    <x v="60"/>
    <x v="108"/>
    <x v="3"/>
    <x v="2"/>
    <x v="6"/>
    <x v="2"/>
    <x v="5"/>
    <x v="38"/>
    <x v="0"/>
    <x v="0"/>
    <x v="0"/>
    <x v="0"/>
    <x v="19"/>
    <x v="0"/>
    <x v="0"/>
  </r>
  <r>
    <x v="110"/>
    <x v="19"/>
    <x v="106"/>
    <x v="87"/>
    <x v="109"/>
    <x v="0"/>
    <x v="2"/>
    <x v="2"/>
    <x v="0"/>
    <x v="0"/>
    <x v="40"/>
    <x v="0"/>
    <x v="0"/>
    <x v="0"/>
    <x v="0"/>
    <x v="17"/>
    <x v="0"/>
    <x v="0"/>
  </r>
  <r>
    <x v="111"/>
    <x v="20"/>
    <x v="107"/>
    <x v="88"/>
    <x v="110"/>
    <x v="0"/>
    <x v="0"/>
    <x v="1"/>
    <x v="0"/>
    <x v="5"/>
    <x v="41"/>
    <x v="0"/>
    <x v="1"/>
    <x v="0"/>
    <x v="0"/>
    <x v="0"/>
    <x v="0"/>
    <x v="0"/>
  </r>
  <r>
    <x v="112"/>
    <x v="20"/>
    <x v="108"/>
    <x v="89"/>
    <x v="111"/>
    <x v="2"/>
    <x v="1"/>
    <x v="0"/>
    <x v="0"/>
    <x v="3"/>
    <x v="31"/>
    <x v="0"/>
    <x v="0"/>
    <x v="0"/>
    <x v="0"/>
    <x v="20"/>
    <x v="0"/>
    <x v="0"/>
  </r>
  <r>
    <x v="113"/>
    <x v="20"/>
    <x v="109"/>
    <x v="10"/>
    <x v="112"/>
    <x v="3"/>
    <x v="1"/>
    <x v="5"/>
    <x v="1"/>
    <x v="4"/>
    <x v="23"/>
    <x v="0"/>
    <x v="0"/>
    <x v="0"/>
    <x v="0"/>
    <x v="0"/>
    <x v="0"/>
    <x v="0"/>
  </r>
  <r>
    <x v="114"/>
    <x v="20"/>
    <x v="110"/>
    <x v="90"/>
    <x v="113"/>
    <x v="2"/>
    <x v="1"/>
    <x v="1"/>
    <x v="0"/>
    <x v="5"/>
    <x v="1"/>
    <x v="0"/>
    <x v="0"/>
    <x v="0"/>
    <x v="0"/>
    <x v="20"/>
    <x v="0"/>
    <x v="0"/>
  </r>
  <r>
    <x v="115"/>
    <x v="20"/>
    <x v="111"/>
    <x v="91"/>
    <x v="114"/>
    <x v="3"/>
    <x v="0"/>
    <x v="8"/>
    <x v="1"/>
    <x v="0"/>
    <x v="16"/>
    <x v="0"/>
    <x v="0"/>
    <x v="0"/>
    <x v="0"/>
    <x v="4"/>
    <x v="0"/>
    <x v="0"/>
  </r>
  <r>
    <x v="116"/>
    <x v="20"/>
    <x v="112"/>
    <x v="92"/>
    <x v="115"/>
    <x v="3"/>
    <x v="1"/>
    <x v="2"/>
    <x v="0"/>
    <x v="3"/>
    <x v="42"/>
    <x v="0"/>
    <x v="0"/>
    <x v="0"/>
    <x v="0"/>
    <x v="13"/>
    <x v="0"/>
    <x v="0"/>
  </r>
  <r>
    <x v="117"/>
    <x v="21"/>
    <x v="113"/>
    <x v="93"/>
    <x v="116"/>
    <x v="3"/>
    <x v="3"/>
    <x v="2"/>
    <x v="0"/>
    <x v="2"/>
    <x v="43"/>
    <x v="0"/>
    <x v="0"/>
    <x v="0"/>
    <x v="0"/>
    <x v="12"/>
    <x v="0"/>
    <x v="0"/>
  </r>
  <r>
    <x v="118"/>
    <x v="21"/>
    <x v="114"/>
    <x v="24"/>
    <x v="117"/>
    <x v="1"/>
    <x v="0"/>
    <x v="4"/>
    <x v="0"/>
    <x v="1"/>
    <x v="0"/>
    <x v="0"/>
    <x v="0"/>
    <x v="0"/>
    <x v="0"/>
    <x v="15"/>
    <x v="0"/>
    <x v="0"/>
  </r>
  <r>
    <x v="119"/>
    <x v="21"/>
    <x v="115"/>
    <x v="94"/>
    <x v="118"/>
    <x v="4"/>
    <x v="0"/>
    <x v="0"/>
    <x v="0"/>
    <x v="1"/>
    <x v="42"/>
    <x v="0"/>
    <x v="0"/>
    <x v="0"/>
    <x v="0"/>
    <x v="18"/>
    <x v="0"/>
    <x v="0"/>
  </r>
  <r>
    <x v="120"/>
    <x v="21"/>
    <x v="116"/>
    <x v="72"/>
    <x v="119"/>
    <x v="2"/>
    <x v="1"/>
    <x v="8"/>
    <x v="0"/>
    <x v="2"/>
    <x v="20"/>
    <x v="2"/>
    <x v="0"/>
    <x v="0"/>
    <x v="0"/>
    <x v="7"/>
    <x v="0"/>
    <x v="0"/>
  </r>
  <r>
    <x v="121"/>
    <x v="21"/>
    <x v="117"/>
    <x v="88"/>
    <x v="120"/>
    <x v="2"/>
    <x v="4"/>
    <x v="5"/>
    <x v="0"/>
    <x v="6"/>
    <x v="40"/>
    <x v="0"/>
    <x v="0"/>
    <x v="0"/>
    <x v="0"/>
    <x v="7"/>
    <x v="0"/>
    <x v="0"/>
  </r>
  <r>
    <x v="122"/>
    <x v="21"/>
    <x v="118"/>
    <x v="56"/>
    <x v="121"/>
    <x v="1"/>
    <x v="2"/>
    <x v="2"/>
    <x v="0"/>
    <x v="5"/>
    <x v="31"/>
    <x v="0"/>
    <x v="0"/>
    <x v="0"/>
    <x v="0"/>
    <x v="8"/>
    <x v="0"/>
    <x v="0"/>
  </r>
  <r>
    <x v="123"/>
    <x v="22"/>
    <x v="119"/>
    <x v="15"/>
    <x v="122"/>
    <x v="3"/>
    <x v="2"/>
    <x v="2"/>
    <x v="1"/>
    <x v="1"/>
    <x v="44"/>
    <x v="1"/>
    <x v="1"/>
    <x v="0"/>
    <x v="0"/>
    <x v="19"/>
    <x v="0"/>
    <x v="0"/>
  </r>
  <r>
    <x v="124"/>
    <x v="22"/>
    <x v="120"/>
    <x v="21"/>
    <x v="123"/>
    <x v="3"/>
    <x v="1"/>
    <x v="8"/>
    <x v="0"/>
    <x v="6"/>
    <x v="18"/>
    <x v="0"/>
    <x v="0"/>
    <x v="0"/>
    <x v="0"/>
    <x v="10"/>
    <x v="0"/>
    <x v="0"/>
  </r>
  <r>
    <x v="125"/>
    <x v="22"/>
    <x v="121"/>
    <x v="5"/>
    <x v="124"/>
    <x v="0"/>
    <x v="2"/>
    <x v="1"/>
    <x v="0"/>
    <x v="1"/>
    <x v="7"/>
    <x v="0"/>
    <x v="0"/>
    <x v="0"/>
    <x v="0"/>
    <x v="13"/>
    <x v="0"/>
    <x v="0"/>
  </r>
  <r>
    <x v="126"/>
    <x v="22"/>
    <x v="122"/>
    <x v="95"/>
    <x v="125"/>
    <x v="3"/>
    <x v="0"/>
    <x v="1"/>
    <x v="0"/>
    <x v="2"/>
    <x v="28"/>
    <x v="0"/>
    <x v="0"/>
    <x v="0"/>
    <x v="0"/>
    <x v="4"/>
    <x v="0"/>
    <x v="0"/>
  </r>
  <r>
    <x v="127"/>
    <x v="22"/>
    <x v="123"/>
    <x v="55"/>
    <x v="126"/>
    <x v="4"/>
    <x v="2"/>
    <x v="0"/>
    <x v="0"/>
    <x v="5"/>
    <x v="39"/>
    <x v="0"/>
    <x v="0"/>
    <x v="0"/>
    <x v="0"/>
    <x v="11"/>
    <x v="0"/>
    <x v="0"/>
  </r>
  <r>
    <x v="128"/>
    <x v="23"/>
    <x v="124"/>
    <x v="25"/>
    <x v="127"/>
    <x v="1"/>
    <x v="4"/>
    <x v="3"/>
    <x v="0"/>
    <x v="5"/>
    <x v="24"/>
    <x v="0"/>
    <x v="0"/>
    <x v="0"/>
    <x v="0"/>
    <x v="10"/>
    <x v="0"/>
    <x v="0"/>
  </r>
  <r>
    <x v="129"/>
    <x v="23"/>
    <x v="125"/>
    <x v="70"/>
    <x v="128"/>
    <x v="1"/>
    <x v="2"/>
    <x v="4"/>
    <x v="0"/>
    <x v="6"/>
    <x v="16"/>
    <x v="3"/>
    <x v="1"/>
    <x v="0"/>
    <x v="0"/>
    <x v="15"/>
    <x v="0"/>
    <x v="0"/>
  </r>
  <r>
    <x v="130"/>
    <x v="23"/>
    <x v="126"/>
    <x v="96"/>
    <x v="129"/>
    <x v="2"/>
    <x v="3"/>
    <x v="2"/>
    <x v="1"/>
    <x v="2"/>
    <x v="19"/>
    <x v="3"/>
    <x v="1"/>
    <x v="0"/>
    <x v="0"/>
    <x v="10"/>
    <x v="0"/>
    <x v="0"/>
  </r>
  <r>
    <x v="131"/>
    <x v="23"/>
    <x v="127"/>
    <x v="97"/>
    <x v="130"/>
    <x v="1"/>
    <x v="2"/>
    <x v="3"/>
    <x v="0"/>
    <x v="6"/>
    <x v="28"/>
    <x v="1"/>
    <x v="1"/>
    <x v="0"/>
    <x v="0"/>
    <x v="19"/>
    <x v="0"/>
    <x v="0"/>
  </r>
  <r>
    <x v="132"/>
    <x v="23"/>
    <x v="128"/>
    <x v="98"/>
    <x v="131"/>
    <x v="4"/>
    <x v="0"/>
    <x v="3"/>
    <x v="0"/>
    <x v="5"/>
    <x v="16"/>
    <x v="0"/>
    <x v="0"/>
    <x v="0"/>
    <x v="0"/>
    <x v="2"/>
    <x v="0"/>
    <x v="0"/>
  </r>
  <r>
    <x v="133"/>
    <x v="23"/>
    <x v="129"/>
    <x v="57"/>
    <x v="132"/>
    <x v="4"/>
    <x v="4"/>
    <x v="4"/>
    <x v="0"/>
    <x v="5"/>
    <x v="14"/>
    <x v="0"/>
    <x v="0"/>
    <x v="0"/>
    <x v="0"/>
    <x v="22"/>
    <x v="0"/>
    <x v="1"/>
  </r>
  <r>
    <x v="134"/>
    <x v="24"/>
    <x v="130"/>
    <x v="42"/>
    <x v="133"/>
    <x v="1"/>
    <x v="0"/>
    <x v="3"/>
    <x v="0"/>
    <x v="3"/>
    <x v="27"/>
    <x v="0"/>
    <x v="0"/>
    <x v="0"/>
    <x v="0"/>
    <x v="10"/>
    <x v="0"/>
    <x v="0"/>
  </r>
  <r>
    <x v="135"/>
    <x v="24"/>
    <x v="131"/>
    <x v="98"/>
    <x v="134"/>
    <x v="3"/>
    <x v="2"/>
    <x v="3"/>
    <x v="0"/>
    <x v="6"/>
    <x v="43"/>
    <x v="3"/>
    <x v="1"/>
    <x v="0"/>
    <x v="0"/>
    <x v="15"/>
    <x v="0"/>
    <x v="0"/>
  </r>
  <r>
    <x v="136"/>
    <x v="24"/>
    <x v="132"/>
    <x v="15"/>
    <x v="135"/>
    <x v="2"/>
    <x v="0"/>
    <x v="1"/>
    <x v="2"/>
    <x v="3"/>
    <x v="36"/>
    <x v="1"/>
    <x v="1"/>
    <x v="0"/>
    <x v="0"/>
    <x v="19"/>
    <x v="0"/>
    <x v="0"/>
  </r>
  <r>
    <x v="137"/>
    <x v="24"/>
    <x v="117"/>
    <x v="99"/>
    <x v="136"/>
    <x v="4"/>
    <x v="0"/>
    <x v="1"/>
    <x v="2"/>
    <x v="2"/>
    <x v="44"/>
    <x v="0"/>
    <x v="0"/>
    <x v="0"/>
    <x v="0"/>
    <x v="7"/>
    <x v="0"/>
    <x v="0"/>
  </r>
  <r>
    <x v="138"/>
    <x v="24"/>
    <x v="133"/>
    <x v="100"/>
    <x v="137"/>
    <x v="3"/>
    <x v="1"/>
    <x v="6"/>
    <x v="0"/>
    <x v="4"/>
    <x v="26"/>
    <x v="0"/>
    <x v="0"/>
    <x v="0"/>
    <x v="0"/>
    <x v="22"/>
    <x v="0"/>
    <x v="0"/>
  </r>
  <r>
    <x v="139"/>
    <x v="25"/>
    <x v="134"/>
    <x v="101"/>
    <x v="138"/>
    <x v="2"/>
    <x v="0"/>
    <x v="5"/>
    <x v="0"/>
    <x v="1"/>
    <x v="34"/>
    <x v="0"/>
    <x v="0"/>
    <x v="0"/>
    <x v="0"/>
    <x v="0"/>
    <x v="0"/>
    <x v="0"/>
  </r>
  <r>
    <x v="140"/>
    <x v="25"/>
    <x v="108"/>
    <x v="78"/>
    <x v="139"/>
    <x v="2"/>
    <x v="1"/>
    <x v="0"/>
    <x v="0"/>
    <x v="3"/>
    <x v="22"/>
    <x v="0"/>
    <x v="0"/>
    <x v="0"/>
    <x v="0"/>
    <x v="20"/>
    <x v="0"/>
    <x v="0"/>
  </r>
  <r>
    <x v="141"/>
    <x v="25"/>
    <x v="135"/>
    <x v="53"/>
    <x v="140"/>
    <x v="2"/>
    <x v="2"/>
    <x v="3"/>
    <x v="0"/>
    <x v="1"/>
    <x v="43"/>
    <x v="0"/>
    <x v="0"/>
    <x v="0"/>
    <x v="0"/>
    <x v="2"/>
    <x v="0"/>
    <x v="0"/>
  </r>
  <r>
    <x v="142"/>
    <x v="25"/>
    <x v="136"/>
    <x v="102"/>
    <x v="141"/>
    <x v="3"/>
    <x v="0"/>
    <x v="6"/>
    <x v="0"/>
    <x v="0"/>
    <x v="18"/>
    <x v="0"/>
    <x v="0"/>
    <x v="0"/>
    <x v="0"/>
    <x v="2"/>
    <x v="0"/>
    <x v="1"/>
  </r>
  <r>
    <x v="143"/>
    <x v="25"/>
    <x v="137"/>
    <x v="87"/>
    <x v="142"/>
    <x v="2"/>
    <x v="0"/>
    <x v="5"/>
    <x v="0"/>
    <x v="2"/>
    <x v="20"/>
    <x v="0"/>
    <x v="0"/>
    <x v="0"/>
    <x v="0"/>
    <x v="17"/>
    <x v="0"/>
    <x v="0"/>
  </r>
  <r>
    <x v="144"/>
    <x v="25"/>
    <x v="138"/>
    <x v="103"/>
    <x v="143"/>
    <x v="4"/>
    <x v="2"/>
    <x v="6"/>
    <x v="0"/>
    <x v="4"/>
    <x v="26"/>
    <x v="0"/>
    <x v="0"/>
    <x v="0"/>
    <x v="0"/>
    <x v="23"/>
    <x v="0"/>
    <x v="0"/>
  </r>
  <r>
    <x v="145"/>
    <x v="26"/>
    <x v="139"/>
    <x v="104"/>
    <x v="144"/>
    <x v="3"/>
    <x v="1"/>
    <x v="6"/>
    <x v="0"/>
    <x v="0"/>
    <x v="36"/>
    <x v="0"/>
    <x v="0"/>
    <x v="0"/>
    <x v="0"/>
    <x v="6"/>
    <x v="0"/>
    <x v="0"/>
  </r>
  <r>
    <x v="146"/>
    <x v="26"/>
    <x v="107"/>
    <x v="13"/>
    <x v="145"/>
    <x v="3"/>
    <x v="2"/>
    <x v="0"/>
    <x v="0"/>
    <x v="0"/>
    <x v="12"/>
    <x v="0"/>
    <x v="0"/>
    <x v="0"/>
    <x v="0"/>
    <x v="0"/>
    <x v="0"/>
    <x v="0"/>
  </r>
  <r>
    <x v="147"/>
    <x v="26"/>
    <x v="140"/>
    <x v="105"/>
    <x v="146"/>
    <x v="0"/>
    <x v="2"/>
    <x v="0"/>
    <x v="0"/>
    <x v="5"/>
    <x v="26"/>
    <x v="0"/>
    <x v="0"/>
    <x v="0"/>
    <x v="0"/>
    <x v="16"/>
    <x v="0"/>
    <x v="0"/>
  </r>
  <r>
    <x v="148"/>
    <x v="26"/>
    <x v="141"/>
    <x v="6"/>
    <x v="147"/>
    <x v="3"/>
    <x v="3"/>
    <x v="8"/>
    <x v="0"/>
    <x v="0"/>
    <x v="13"/>
    <x v="0"/>
    <x v="0"/>
    <x v="0"/>
    <x v="0"/>
    <x v="1"/>
    <x v="0"/>
    <x v="0"/>
  </r>
  <r>
    <x v="149"/>
    <x v="26"/>
    <x v="142"/>
    <x v="65"/>
    <x v="148"/>
    <x v="4"/>
    <x v="2"/>
    <x v="4"/>
    <x v="0"/>
    <x v="2"/>
    <x v="45"/>
    <x v="0"/>
    <x v="1"/>
    <x v="0"/>
    <x v="0"/>
    <x v="9"/>
    <x v="0"/>
    <x v="0"/>
  </r>
  <r>
    <x v="150"/>
    <x v="27"/>
    <x v="143"/>
    <x v="106"/>
    <x v="149"/>
    <x v="1"/>
    <x v="1"/>
    <x v="4"/>
    <x v="2"/>
    <x v="3"/>
    <x v="3"/>
    <x v="1"/>
    <x v="1"/>
    <x v="0"/>
    <x v="0"/>
    <x v="19"/>
    <x v="0"/>
    <x v="0"/>
  </r>
  <r>
    <x v="151"/>
    <x v="27"/>
    <x v="144"/>
    <x v="107"/>
    <x v="150"/>
    <x v="3"/>
    <x v="2"/>
    <x v="8"/>
    <x v="0"/>
    <x v="2"/>
    <x v="33"/>
    <x v="0"/>
    <x v="0"/>
    <x v="0"/>
    <x v="0"/>
    <x v="7"/>
    <x v="0"/>
    <x v="0"/>
  </r>
  <r>
    <x v="152"/>
    <x v="27"/>
    <x v="145"/>
    <x v="108"/>
    <x v="151"/>
    <x v="4"/>
    <x v="0"/>
    <x v="8"/>
    <x v="0"/>
    <x v="3"/>
    <x v="17"/>
    <x v="0"/>
    <x v="0"/>
    <x v="0"/>
    <x v="0"/>
    <x v="0"/>
    <x v="0"/>
    <x v="0"/>
  </r>
  <r>
    <x v="153"/>
    <x v="27"/>
    <x v="146"/>
    <x v="14"/>
    <x v="152"/>
    <x v="1"/>
    <x v="0"/>
    <x v="1"/>
    <x v="0"/>
    <x v="0"/>
    <x v="8"/>
    <x v="0"/>
    <x v="0"/>
    <x v="0"/>
    <x v="0"/>
    <x v="23"/>
    <x v="0"/>
    <x v="0"/>
  </r>
  <r>
    <x v="154"/>
    <x v="27"/>
    <x v="136"/>
    <x v="109"/>
    <x v="153"/>
    <x v="1"/>
    <x v="3"/>
    <x v="5"/>
    <x v="2"/>
    <x v="0"/>
    <x v="26"/>
    <x v="0"/>
    <x v="0"/>
    <x v="0"/>
    <x v="0"/>
    <x v="2"/>
    <x v="0"/>
    <x v="0"/>
  </r>
  <r>
    <x v="155"/>
    <x v="27"/>
    <x v="147"/>
    <x v="110"/>
    <x v="154"/>
    <x v="3"/>
    <x v="1"/>
    <x v="6"/>
    <x v="0"/>
    <x v="4"/>
    <x v="5"/>
    <x v="0"/>
    <x v="0"/>
    <x v="0"/>
    <x v="0"/>
    <x v="3"/>
    <x v="0"/>
    <x v="0"/>
  </r>
  <r>
    <x v="156"/>
    <x v="28"/>
    <x v="148"/>
    <x v="62"/>
    <x v="155"/>
    <x v="2"/>
    <x v="3"/>
    <x v="3"/>
    <x v="0"/>
    <x v="3"/>
    <x v="0"/>
    <x v="0"/>
    <x v="0"/>
    <x v="0"/>
    <x v="0"/>
    <x v="9"/>
    <x v="0"/>
    <x v="0"/>
  </r>
  <r>
    <x v="157"/>
    <x v="28"/>
    <x v="149"/>
    <x v="111"/>
    <x v="156"/>
    <x v="3"/>
    <x v="3"/>
    <x v="8"/>
    <x v="0"/>
    <x v="0"/>
    <x v="0"/>
    <x v="0"/>
    <x v="0"/>
    <x v="0"/>
    <x v="0"/>
    <x v="23"/>
    <x v="0"/>
    <x v="0"/>
  </r>
  <r>
    <x v="158"/>
    <x v="28"/>
    <x v="150"/>
    <x v="0"/>
    <x v="157"/>
    <x v="3"/>
    <x v="3"/>
    <x v="2"/>
    <x v="2"/>
    <x v="5"/>
    <x v="22"/>
    <x v="0"/>
    <x v="0"/>
    <x v="0"/>
    <x v="0"/>
    <x v="0"/>
    <x v="0"/>
    <x v="0"/>
  </r>
  <r>
    <x v="159"/>
    <x v="28"/>
    <x v="151"/>
    <x v="45"/>
    <x v="158"/>
    <x v="0"/>
    <x v="4"/>
    <x v="4"/>
    <x v="1"/>
    <x v="1"/>
    <x v="45"/>
    <x v="0"/>
    <x v="0"/>
    <x v="0"/>
    <x v="0"/>
    <x v="6"/>
    <x v="0"/>
    <x v="0"/>
  </r>
  <r>
    <x v="160"/>
    <x v="28"/>
    <x v="152"/>
    <x v="112"/>
    <x v="159"/>
    <x v="3"/>
    <x v="1"/>
    <x v="8"/>
    <x v="0"/>
    <x v="4"/>
    <x v="31"/>
    <x v="0"/>
    <x v="0"/>
    <x v="0"/>
    <x v="0"/>
    <x v="11"/>
    <x v="0"/>
    <x v="0"/>
  </r>
  <r>
    <x v="161"/>
    <x v="29"/>
    <x v="153"/>
    <x v="61"/>
    <x v="91"/>
    <x v="2"/>
    <x v="0"/>
    <x v="2"/>
    <x v="2"/>
    <x v="2"/>
    <x v="26"/>
    <x v="1"/>
    <x v="1"/>
    <x v="0"/>
    <x v="0"/>
    <x v="12"/>
    <x v="0"/>
    <x v="0"/>
  </r>
  <r>
    <x v="162"/>
    <x v="29"/>
    <x v="154"/>
    <x v="113"/>
    <x v="160"/>
    <x v="3"/>
    <x v="2"/>
    <x v="2"/>
    <x v="1"/>
    <x v="4"/>
    <x v="2"/>
    <x v="0"/>
    <x v="0"/>
    <x v="0"/>
    <x v="0"/>
    <x v="17"/>
    <x v="0"/>
    <x v="0"/>
  </r>
  <r>
    <x v="163"/>
    <x v="29"/>
    <x v="155"/>
    <x v="81"/>
    <x v="161"/>
    <x v="2"/>
    <x v="1"/>
    <x v="2"/>
    <x v="2"/>
    <x v="1"/>
    <x v="11"/>
    <x v="0"/>
    <x v="0"/>
    <x v="0"/>
    <x v="0"/>
    <x v="23"/>
    <x v="0"/>
    <x v="0"/>
  </r>
  <r>
    <x v="164"/>
    <x v="29"/>
    <x v="156"/>
    <x v="111"/>
    <x v="162"/>
    <x v="3"/>
    <x v="2"/>
    <x v="1"/>
    <x v="0"/>
    <x v="3"/>
    <x v="20"/>
    <x v="0"/>
    <x v="0"/>
    <x v="0"/>
    <x v="0"/>
    <x v="5"/>
    <x v="0"/>
    <x v="0"/>
  </r>
  <r>
    <x v="165"/>
    <x v="29"/>
    <x v="157"/>
    <x v="58"/>
    <x v="163"/>
    <x v="0"/>
    <x v="2"/>
    <x v="1"/>
    <x v="0"/>
    <x v="2"/>
    <x v="38"/>
    <x v="0"/>
    <x v="0"/>
    <x v="0"/>
    <x v="0"/>
    <x v="14"/>
    <x v="0"/>
    <x v="1"/>
  </r>
  <r>
    <x v="166"/>
    <x v="29"/>
    <x v="158"/>
    <x v="114"/>
    <x v="164"/>
    <x v="1"/>
    <x v="2"/>
    <x v="3"/>
    <x v="0"/>
    <x v="2"/>
    <x v="37"/>
    <x v="0"/>
    <x v="0"/>
    <x v="0"/>
    <x v="0"/>
    <x v="13"/>
    <x v="0"/>
    <x v="0"/>
  </r>
  <r>
    <x v="167"/>
    <x v="30"/>
    <x v="159"/>
    <x v="10"/>
    <x v="165"/>
    <x v="3"/>
    <x v="1"/>
    <x v="3"/>
    <x v="2"/>
    <x v="3"/>
    <x v="36"/>
    <x v="0"/>
    <x v="0"/>
    <x v="0"/>
    <x v="0"/>
    <x v="13"/>
    <x v="0"/>
    <x v="0"/>
  </r>
  <r>
    <x v="168"/>
    <x v="30"/>
    <x v="160"/>
    <x v="101"/>
    <x v="166"/>
    <x v="3"/>
    <x v="0"/>
    <x v="2"/>
    <x v="0"/>
    <x v="6"/>
    <x v="24"/>
    <x v="0"/>
    <x v="0"/>
    <x v="0"/>
    <x v="0"/>
    <x v="1"/>
    <x v="0"/>
    <x v="0"/>
  </r>
  <r>
    <x v="169"/>
    <x v="30"/>
    <x v="161"/>
    <x v="115"/>
    <x v="167"/>
    <x v="3"/>
    <x v="1"/>
    <x v="5"/>
    <x v="0"/>
    <x v="6"/>
    <x v="25"/>
    <x v="0"/>
    <x v="0"/>
    <x v="0"/>
    <x v="0"/>
    <x v="3"/>
    <x v="0"/>
    <x v="1"/>
  </r>
  <r>
    <x v="170"/>
    <x v="30"/>
    <x v="117"/>
    <x v="116"/>
    <x v="168"/>
    <x v="1"/>
    <x v="0"/>
    <x v="1"/>
    <x v="0"/>
    <x v="4"/>
    <x v="20"/>
    <x v="0"/>
    <x v="0"/>
    <x v="0"/>
    <x v="0"/>
    <x v="7"/>
    <x v="0"/>
    <x v="0"/>
  </r>
  <r>
    <x v="171"/>
    <x v="30"/>
    <x v="162"/>
    <x v="52"/>
    <x v="169"/>
    <x v="3"/>
    <x v="4"/>
    <x v="6"/>
    <x v="2"/>
    <x v="0"/>
    <x v="39"/>
    <x v="0"/>
    <x v="0"/>
    <x v="0"/>
    <x v="0"/>
    <x v="0"/>
    <x v="0"/>
    <x v="0"/>
  </r>
  <r>
    <x v="172"/>
    <x v="30"/>
    <x v="104"/>
    <x v="65"/>
    <x v="170"/>
    <x v="4"/>
    <x v="1"/>
    <x v="2"/>
    <x v="2"/>
    <x v="6"/>
    <x v="35"/>
    <x v="1"/>
    <x v="1"/>
    <x v="0"/>
    <x v="0"/>
    <x v="15"/>
    <x v="0"/>
    <x v="0"/>
  </r>
  <r>
    <x v="173"/>
    <x v="31"/>
    <x v="163"/>
    <x v="117"/>
    <x v="171"/>
    <x v="1"/>
    <x v="0"/>
    <x v="6"/>
    <x v="0"/>
    <x v="4"/>
    <x v="6"/>
    <x v="0"/>
    <x v="0"/>
    <x v="0"/>
    <x v="0"/>
    <x v="15"/>
    <x v="0"/>
    <x v="0"/>
  </r>
  <r>
    <x v="174"/>
    <x v="31"/>
    <x v="164"/>
    <x v="36"/>
    <x v="172"/>
    <x v="3"/>
    <x v="0"/>
    <x v="6"/>
    <x v="2"/>
    <x v="6"/>
    <x v="11"/>
    <x v="0"/>
    <x v="0"/>
    <x v="0"/>
    <x v="0"/>
    <x v="1"/>
    <x v="0"/>
    <x v="0"/>
  </r>
  <r>
    <x v="175"/>
    <x v="31"/>
    <x v="165"/>
    <x v="118"/>
    <x v="173"/>
    <x v="2"/>
    <x v="2"/>
    <x v="2"/>
    <x v="0"/>
    <x v="1"/>
    <x v="44"/>
    <x v="0"/>
    <x v="0"/>
    <x v="0"/>
    <x v="0"/>
    <x v="23"/>
    <x v="0"/>
    <x v="0"/>
  </r>
  <r>
    <x v="176"/>
    <x v="31"/>
    <x v="166"/>
    <x v="25"/>
    <x v="174"/>
    <x v="2"/>
    <x v="2"/>
    <x v="4"/>
    <x v="2"/>
    <x v="5"/>
    <x v="3"/>
    <x v="0"/>
    <x v="0"/>
    <x v="0"/>
    <x v="0"/>
    <x v="20"/>
    <x v="0"/>
    <x v="0"/>
  </r>
  <r>
    <x v="177"/>
    <x v="31"/>
    <x v="167"/>
    <x v="15"/>
    <x v="175"/>
    <x v="3"/>
    <x v="1"/>
    <x v="5"/>
    <x v="0"/>
    <x v="0"/>
    <x v="23"/>
    <x v="0"/>
    <x v="0"/>
    <x v="0"/>
    <x v="0"/>
    <x v="10"/>
    <x v="0"/>
    <x v="0"/>
  </r>
  <r>
    <x v="178"/>
    <x v="32"/>
    <x v="168"/>
    <x v="96"/>
    <x v="176"/>
    <x v="3"/>
    <x v="0"/>
    <x v="2"/>
    <x v="0"/>
    <x v="4"/>
    <x v="34"/>
    <x v="0"/>
    <x v="0"/>
    <x v="0"/>
    <x v="0"/>
    <x v="0"/>
    <x v="0"/>
    <x v="0"/>
  </r>
  <r>
    <x v="179"/>
    <x v="32"/>
    <x v="169"/>
    <x v="101"/>
    <x v="177"/>
    <x v="3"/>
    <x v="1"/>
    <x v="3"/>
    <x v="2"/>
    <x v="5"/>
    <x v="24"/>
    <x v="2"/>
    <x v="0"/>
    <x v="0"/>
    <x v="0"/>
    <x v="14"/>
    <x v="0"/>
    <x v="0"/>
  </r>
  <r>
    <x v="180"/>
    <x v="32"/>
    <x v="170"/>
    <x v="10"/>
    <x v="178"/>
    <x v="2"/>
    <x v="0"/>
    <x v="2"/>
    <x v="0"/>
    <x v="5"/>
    <x v="5"/>
    <x v="0"/>
    <x v="0"/>
    <x v="0"/>
    <x v="0"/>
    <x v="4"/>
    <x v="0"/>
    <x v="0"/>
  </r>
  <r>
    <x v="181"/>
    <x v="32"/>
    <x v="171"/>
    <x v="110"/>
    <x v="179"/>
    <x v="2"/>
    <x v="2"/>
    <x v="1"/>
    <x v="2"/>
    <x v="6"/>
    <x v="37"/>
    <x v="0"/>
    <x v="0"/>
    <x v="0"/>
    <x v="0"/>
    <x v="20"/>
    <x v="0"/>
    <x v="0"/>
  </r>
  <r>
    <x v="182"/>
    <x v="32"/>
    <x v="172"/>
    <x v="7"/>
    <x v="180"/>
    <x v="1"/>
    <x v="2"/>
    <x v="2"/>
    <x v="0"/>
    <x v="3"/>
    <x v="42"/>
    <x v="1"/>
    <x v="1"/>
    <x v="0"/>
    <x v="0"/>
    <x v="19"/>
    <x v="0"/>
    <x v="0"/>
  </r>
  <r>
    <x v="183"/>
    <x v="32"/>
    <x v="173"/>
    <x v="119"/>
    <x v="181"/>
    <x v="4"/>
    <x v="1"/>
    <x v="4"/>
    <x v="0"/>
    <x v="1"/>
    <x v="40"/>
    <x v="0"/>
    <x v="0"/>
    <x v="0"/>
    <x v="0"/>
    <x v="15"/>
    <x v="0"/>
    <x v="0"/>
  </r>
  <r>
    <x v="184"/>
    <x v="33"/>
    <x v="174"/>
    <x v="104"/>
    <x v="182"/>
    <x v="4"/>
    <x v="0"/>
    <x v="1"/>
    <x v="0"/>
    <x v="1"/>
    <x v="25"/>
    <x v="0"/>
    <x v="0"/>
    <x v="0"/>
    <x v="0"/>
    <x v="6"/>
    <x v="0"/>
    <x v="0"/>
  </r>
  <r>
    <x v="185"/>
    <x v="33"/>
    <x v="175"/>
    <x v="120"/>
    <x v="183"/>
    <x v="2"/>
    <x v="4"/>
    <x v="3"/>
    <x v="0"/>
    <x v="1"/>
    <x v="16"/>
    <x v="0"/>
    <x v="0"/>
    <x v="0"/>
    <x v="0"/>
    <x v="17"/>
    <x v="0"/>
    <x v="0"/>
  </r>
  <r>
    <x v="186"/>
    <x v="33"/>
    <x v="95"/>
    <x v="43"/>
    <x v="184"/>
    <x v="4"/>
    <x v="1"/>
    <x v="0"/>
    <x v="0"/>
    <x v="0"/>
    <x v="17"/>
    <x v="0"/>
    <x v="0"/>
    <x v="0"/>
    <x v="0"/>
    <x v="13"/>
    <x v="0"/>
    <x v="0"/>
  </r>
  <r>
    <x v="187"/>
    <x v="33"/>
    <x v="176"/>
    <x v="121"/>
    <x v="185"/>
    <x v="3"/>
    <x v="2"/>
    <x v="0"/>
    <x v="0"/>
    <x v="2"/>
    <x v="3"/>
    <x v="0"/>
    <x v="0"/>
    <x v="0"/>
    <x v="0"/>
    <x v="8"/>
    <x v="0"/>
    <x v="2"/>
  </r>
  <r>
    <x v="188"/>
    <x v="33"/>
    <x v="177"/>
    <x v="113"/>
    <x v="186"/>
    <x v="3"/>
    <x v="0"/>
    <x v="6"/>
    <x v="0"/>
    <x v="0"/>
    <x v="39"/>
    <x v="0"/>
    <x v="0"/>
    <x v="0"/>
    <x v="0"/>
    <x v="2"/>
    <x v="0"/>
    <x v="0"/>
  </r>
  <r>
    <x v="189"/>
    <x v="34"/>
    <x v="178"/>
    <x v="113"/>
    <x v="187"/>
    <x v="3"/>
    <x v="1"/>
    <x v="5"/>
    <x v="0"/>
    <x v="4"/>
    <x v="30"/>
    <x v="0"/>
    <x v="0"/>
    <x v="0"/>
    <x v="0"/>
    <x v="11"/>
    <x v="0"/>
    <x v="0"/>
  </r>
  <r>
    <x v="190"/>
    <x v="34"/>
    <x v="179"/>
    <x v="122"/>
    <x v="188"/>
    <x v="3"/>
    <x v="0"/>
    <x v="6"/>
    <x v="1"/>
    <x v="5"/>
    <x v="2"/>
    <x v="0"/>
    <x v="0"/>
    <x v="0"/>
    <x v="0"/>
    <x v="8"/>
    <x v="0"/>
    <x v="0"/>
  </r>
  <r>
    <x v="191"/>
    <x v="34"/>
    <x v="180"/>
    <x v="123"/>
    <x v="189"/>
    <x v="1"/>
    <x v="1"/>
    <x v="4"/>
    <x v="1"/>
    <x v="5"/>
    <x v="13"/>
    <x v="0"/>
    <x v="0"/>
    <x v="0"/>
    <x v="0"/>
    <x v="20"/>
    <x v="0"/>
    <x v="0"/>
  </r>
  <r>
    <x v="192"/>
    <x v="34"/>
    <x v="181"/>
    <x v="124"/>
    <x v="190"/>
    <x v="0"/>
    <x v="4"/>
    <x v="8"/>
    <x v="0"/>
    <x v="2"/>
    <x v="30"/>
    <x v="0"/>
    <x v="0"/>
    <x v="0"/>
    <x v="0"/>
    <x v="1"/>
    <x v="0"/>
    <x v="0"/>
  </r>
  <r>
    <x v="193"/>
    <x v="34"/>
    <x v="182"/>
    <x v="90"/>
    <x v="191"/>
    <x v="3"/>
    <x v="1"/>
    <x v="3"/>
    <x v="2"/>
    <x v="4"/>
    <x v="5"/>
    <x v="0"/>
    <x v="0"/>
    <x v="0"/>
    <x v="0"/>
    <x v="16"/>
    <x v="0"/>
    <x v="0"/>
  </r>
  <r>
    <x v="194"/>
    <x v="34"/>
    <x v="183"/>
    <x v="47"/>
    <x v="192"/>
    <x v="3"/>
    <x v="0"/>
    <x v="5"/>
    <x v="0"/>
    <x v="2"/>
    <x v="39"/>
    <x v="0"/>
    <x v="0"/>
    <x v="0"/>
    <x v="0"/>
    <x v="16"/>
    <x v="0"/>
    <x v="0"/>
  </r>
  <r>
    <x v="195"/>
    <x v="35"/>
    <x v="184"/>
    <x v="67"/>
    <x v="193"/>
    <x v="1"/>
    <x v="0"/>
    <x v="3"/>
    <x v="0"/>
    <x v="5"/>
    <x v="36"/>
    <x v="0"/>
    <x v="0"/>
    <x v="0"/>
    <x v="0"/>
    <x v="1"/>
    <x v="0"/>
    <x v="0"/>
  </r>
  <r>
    <x v="196"/>
    <x v="35"/>
    <x v="26"/>
    <x v="120"/>
    <x v="194"/>
    <x v="0"/>
    <x v="1"/>
    <x v="0"/>
    <x v="2"/>
    <x v="6"/>
    <x v="26"/>
    <x v="0"/>
    <x v="0"/>
    <x v="0"/>
    <x v="0"/>
    <x v="13"/>
    <x v="0"/>
    <x v="0"/>
  </r>
  <r>
    <x v="197"/>
    <x v="35"/>
    <x v="185"/>
    <x v="125"/>
    <x v="195"/>
    <x v="3"/>
    <x v="0"/>
    <x v="6"/>
    <x v="1"/>
    <x v="0"/>
    <x v="35"/>
    <x v="0"/>
    <x v="0"/>
    <x v="0"/>
    <x v="0"/>
    <x v="0"/>
    <x v="0"/>
    <x v="0"/>
  </r>
  <r>
    <x v="198"/>
    <x v="35"/>
    <x v="186"/>
    <x v="126"/>
    <x v="196"/>
    <x v="1"/>
    <x v="0"/>
    <x v="3"/>
    <x v="0"/>
    <x v="1"/>
    <x v="14"/>
    <x v="0"/>
    <x v="0"/>
    <x v="0"/>
    <x v="0"/>
    <x v="12"/>
    <x v="0"/>
    <x v="0"/>
  </r>
  <r>
    <x v="199"/>
    <x v="35"/>
    <x v="38"/>
    <x v="107"/>
    <x v="197"/>
    <x v="3"/>
    <x v="3"/>
    <x v="0"/>
    <x v="2"/>
    <x v="5"/>
    <x v="42"/>
    <x v="0"/>
    <x v="1"/>
    <x v="0"/>
    <x v="0"/>
    <x v="10"/>
    <x v="0"/>
    <x v="0"/>
  </r>
  <r>
    <x v="200"/>
    <x v="36"/>
    <x v="187"/>
    <x v="68"/>
    <x v="198"/>
    <x v="3"/>
    <x v="1"/>
    <x v="4"/>
    <x v="0"/>
    <x v="3"/>
    <x v="38"/>
    <x v="0"/>
    <x v="0"/>
    <x v="0"/>
    <x v="0"/>
    <x v="16"/>
    <x v="0"/>
    <x v="0"/>
  </r>
  <r>
    <x v="201"/>
    <x v="36"/>
    <x v="188"/>
    <x v="46"/>
    <x v="199"/>
    <x v="0"/>
    <x v="0"/>
    <x v="4"/>
    <x v="1"/>
    <x v="1"/>
    <x v="13"/>
    <x v="3"/>
    <x v="1"/>
    <x v="0"/>
    <x v="0"/>
    <x v="19"/>
    <x v="0"/>
    <x v="0"/>
  </r>
  <r>
    <x v="202"/>
    <x v="36"/>
    <x v="189"/>
    <x v="127"/>
    <x v="200"/>
    <x v="0"/>
    <x v="4"/>
    <x v="8"/>
    <x v="0"/>
    <x v="5"/>
    <x v="1"/>
    <x v="0"/>
    <x v="0"/>
    <x v="0"/>
    <x v="0"/>
    <x v="16"/>
    <x v="0"/>
    <x v="0"/>
  </r>
  <r>
    <x v="203"/>
    <x v="36"/>
    <x v="190"/>
    <x v="36"/>
    <x v="201"/>
    <x v="3"/>
    <x v="0"/>
    <x v="3"/>
    <x v="0"/>
    <x v="0"/>
    <x v="37"/>
    <x v="0"/>
    <x v="0"/>
    <x v="0"/>
    <x v="0"/>
    <x v="8"/>
    <x v="0"/>
    <x v="0"/>
  </r>
  <r>
    <x v="204"/>
    <x v="36"/>
    <x v="191"/>
    <x v="127"/>
    <x v="202"/>
    <x v="0"/>
    <x v="4"/>
    <x v="7"/>
    <x v="0"/>
    <x v="2"/>
    <x v="17"/>
    <x v="0"/>
    <x v="0"/>
    <x v="0"/>
    <x v="1"/>
    <x v="16"/>
    <x v="0"/>
    <x v="0"/>
  </r>
  <r>
    <x v="205"/>
    <x v="36"/>
    <x v="192"/>
    <x v="49"/>
    <x v="203"/>
    <x v="2"/>
    <x v="0"/>
    <x v="1"/>
    <x v="0"/>
    <x v="6"/>
    <x v="32"/>
    <x v="0"/>
    <x v="0"/>
    <x v="0"/>
    <x v="0"/>
    <x v="16"/>
    <x v="0"/>
    <x v="0"/>
  </r>
  <r>
    <x v="206"/>
    <x v="37"/>
    <x v="193"/>
    <x v="128"/>
    <x v="204"/>
    <x v="4"/>
    <x v="4"/>
    <x v="5"/>
    <x v="0"/>
    <x v="6"/>
    <x v="3"/>
    <x v="3"/>
    <x v="1"/>
    <x v="0"/>
    <x v="0"/>
    <x v="12"/>
    <x v="0"/>
    <x v="0"/>
  </r>
  <r>
    <x v="207"/>
    <x v="37"/>
    <x v="194"/>
    <x v="129"/>
    <x v="205"/>
    <x v="1"/>
    <x v="2"/>
    <x v="3"/>
    <x v="1"/>
    <x v="1"/>
    <x v="36"/>
    <x v="1"/>
    <x v="1"/>
    <x v="0"/>
    <x v="0"/>
    <x v="12"/>
    <x v="0"/>
    <x v="0"/>
  </r>
  <r>
    <x v="208"/>
    <x v="37"/>
    <x v="195"/>
    <x v="42"/>
    <x v="206"/>
    <x v="1"/>
    <x v="3"/>
    <x v="4"/>
    <x v="0"/>
    <x v="0"/>
    <x v="33"/>
    <x v="0"/>
    <x v="0"/>
    <x v="0"/>
    <x v="0"/>
    <x v="11"/>
    <x v="0"/>
    <x v="0"/>
  </r>
  <r>
    <x v="209"/>
    <x v="37"/>
    <x v="196"/>
    <x v="130"/>
    <x v="207"/>
    <x v="1"/>
    <x v="4"/>
    <x v="6"/>
    <x v="0"/>
    <x v="6"/>
    <x v="15"/>
    <x v="0"/>
    <x v="0"/>
    <x v="0"/>
    <x v="0"/>
    <x v="7"/>
    <x v="0"/>
    <x v="0"/>
  </r>
  <r>
    <x v="210"/>
    <x v="37"/>
    <x v="197"/>
    <x v="20"/>
    <x v="208"/>
    <x v="2"/>
    <x v="0"/>
    <x v="0"/>
    <x v="0"/>
    <x v="6"/>
    <x v="5"/>
    <x v="0"/>
    <x v="0"/>
    <x v="0"/>
    <x v="0"/>
    <x v="19"/>
    <x v="0"/>
    <x v="1"/>
  </r>
  <r>
    <x v="211"/>
    <x v="38"/>
    <x v="198"/>
    <x v="97"/>
    <x v="209"/>
    <x v="3"/>
    <x v="4"/>
    <x v="2"/>
    <x v="0"/>
    <x v="4"/>
    <x v="28"/>
    <x v="0"/>
    <x v="0"/>
    <x v="0"/>
    <x v="0"/>
    <x v="15"/>
    <x v="0"/>
    <x v="0"/>
  </r>
  <r>
    <x v="212"/>
    <x v="38"/>
    <x v="163"/>
    <x v="70"/>
    <x v="210"/>
    <x v="3"/>
    <x v="1"/>
    <x v="8"/>
    <x v="0"/>
    <x v="3"/>
    <x v="33"/>
    <x v="0"/>
    <x v="0"/>
    <x v="0"/>
    <x v="0"/>
    <x v="15"/>
    <x v="0"/>
    <x v="0"/>
  </r>
  <r>
    <x v="213"/>
    <x v="38"/>
    <x v="199"/>
    <x v="107"/>
    <x v="211"/>
    <x v="3"/>
    <x v="1"/>
    <x v="2"/>
    <x v="0"/>
    <x v="1"/>
    <x v="13"/>
    <x v="0"/>
    <x v="0"/>
    <x v="0"/>
    <x v="0"/>
    <x v="6"/>
    <x v="0"/>
    <x v="0"/>
  </r>
  <r>
    <x v="214"/>
    <x v="38"/>
    <x v="200"/>
    <x v="11"/>
    <x v="212"/>
    <x v="2"/>
    <x v="1"/>
    <x v="3"/>
    <x v="0"/>
    <x v="2"/>
    <x v="42"/>
    <x v="0"/>
    <x v="0"/>
    <x v="0"/>
    <x v="0"/>
    <x v="12"/>
    <x v="0"/>
    <x v="0"/>
  </r>
  <r>
    <x v="215"/>
    <x v="38"/>
    <x v="5"/>
    <x v="93"/>
    <x v="213"/>
    <x v="3"/>
    <x v="2"/>
    <x v="6"/>
    <x v="0"/>
    <x v="6"/>
    <x v="11"/>
    <x v="0"/>
    <x v="0"/>
    <x v="0"/>
    <x v="0"/>
    <x v="5"/>
    <x v="0"/>
    <x v="0"/>
  </r>
  <r>
    <x v="216"/>
    <x v="38"/>
    <x v="201"/>
    <x v="83"/>
    <x v="214"/>
    <x v="2"/>
    <x v="0"/>
    <x v="8"/>
    <x v="0"/>
    <x v="4"/>
    <x v="15"/>
    <x v="0"/>
    <x v="0"/>
    <x v="0"/>
    <x v="0"/>
    <x v="13"/>
    <x v="0"/>
    <x v="0"/>
  </r>
  <r>
    <x v="217"/>
    <x v="39"/>
    <x v="169"/>
    <x v="62"/>
    <x v="215"/>
    <x v="0"/>
    <x v="2"/>
    <x v="2"/>
    <x v="2"/>
    <x v="0"/>
    <x v="46"/>
    <x v="3"/>
    <x v="1"/>
    <x v="0"/>
    <x v="0"/>
    <x v="14"/>
    <x v="0"/>
    <x v="0"/>
  </r>
  <r>
    <x v="218"/>
    <x v="39"/>
    <x v="202"/>
    <x v="83"/>
    <x v="216"/>
    <x v="3"/>
    <x v="2"/>
    <x v="5"/>
    <x v="2"/>
    <x v="6"/>
    <x v="43"/>
    <x v="0"/>
    <x v="0"/>
    <x v="0"/>
    <x v="0"/>
    <x v="7"/>
    <x v="0"/>
    <x v="0"/>
  </r>
  <r>
    <x v="219"/>
    <x v="39"/>
    <x v="203"/>
    <x v="131"/>
    <x v="217"/>
    <x v="2"/>
    <x v="3"/>
    <x v="6"/>
    <x v="0"/>
    <x v="3"/>
    <x v="29"/>
    <x v="0"/>
    <x v="0"/>
    <x v="0"/>
    <x v="0"/>
    <x v="9"/>
    <x v="0"/>
    <x v="0"/>
  </r>
  <r>
    <x v="220"/>
    <x v="39"/>
    <x v="204"/>
    <x v="132"/>
    <x v="215"/>
    <x v="1"/>
    <x v="3"/>
    <x v="0"/>
    <x v="0"/>
    <x v="2"/>
    <x v="29"/>
    <x v="0"/>
    <x v="0"/>
    <x v="0"/>
    <x v="0"/>
    <x v="7"/>
    <x v="0"/>
    <x v="0"/>
  </r>
  <r>
    <x v="221"/>
    <x v="39"/>
    <x v="205"/>
    <x v="133"/>
    <x v="218"/>
    <x v="4"/>
    <x v="1"/>
    <x v="5"/>
    <x v="0"/>
    <x v="0"/>
    <x v="44"/>
    <x v="2"/>
    <x v="0"/>
    <x v="0"/>
    <x v="0"/>
    <x v="3"/>
    <x v="0"/>
    <x v="0"/>
  </r>
  <r>
    <x v="222"/>
    <x v="40"/>
    <x v="118"/>
    <x v="66"/>
    <x v="219"/>
    <x v="3"/>
    <x v="0"/>
    <x v="6"/>
    <x v="0"/>
    <x v="0"/>
    <x v="44"/>
    <x v="0"/>
    <x v="0"/>
    <x v="0"/>
    <x v="0"/>
    <x v="8"/>
    <x v="0"/>
    <x v="0"/>
  </r>
  <r>
    <x v="223"/>
    <x v="40"/>
    <x v="206"/>
    <x v="75"/>
    <x v="220"/>
    <x v="2"/>
    <x v="0"/>
    <x v="1"/>
    <x v="0"/>
    <x v="1"/>
    <x v="14"/>
    <x v="2"/>
    <x v="0"/>
    <x v="0"/>
    <x v="0"/>
    <x v="16"/>
    <x v="0"/>
    <x v="0"/>
  </r>
  <r>
    <x v="224"/>
    <x v="40"/>
    <x v="207"/>
    <x v="134"/>
    <x v="221"/>
    <x v="4"/>
    <x v="0"/>
    <x v="8"/>
    <x v="0"/>
    <x v="6"/>
    <x v="29"/>
    <x v="0"/>
    <x v="0"/>
    <x v="0"/>
    <x v="0"/>
    <x v="14"/>
    <x v="0"/>
    <x v="0"/>
  </r>
  <r>
    <x v="225"/>
    <x v="40"/>
    <x v="208"/>
    <x v="110"/>
    <x v="222"/>
    <x v="0"/>
    <x v="0"/>
    <x v="4"/>
    <x v="0"/>
    <x v="1"/>
    <x v="39"/>
    <x v="0"/>
    <x v="0"/>
    <x v="0"/>
    <x v="0"/>
    <x v="8"/>
    <x v="0"/>
    <x v="0"/>
  </r>
  <r>
    <x v="226"/>
    <x v="40"/>
    <x v="209"/>
    <x v="113"/>
    <x v="223"/>
    <x v="2"/>
    <x v="1"/>
    <x v="0"/>
    <x v="0"/>
    <x v="2"/>
    <x v="12"/>
    <x v="0"/>
    <x v="0"/>
    <x v="0"/>
    <x v="0"/>
    <x v="19"/>
    <x v="0"/>
    <x v="0"/>
  </r>
  <r>
    <x v="227"/>
    <x v="40"/>
    <x v="210"/>
    <x v="5"/>
    <x v="224"/>
    <x v="1"/>
    <x v="0"/>
    <x v="3"/>
    <x v="0"/>
    <x v="6"/>
    <x v="34"/>
    <x v="0"/>
    <x v="0"/>
    <x v="0"/>
    <x v="0"/>
    <x v="1"/>
    <x v="0"/>
    <x v="0"/>
  </r>
  <r>
    <x v="228"/>
    <x v="41"/>
    <x v="211"/>
    <x v="129"/>
    <x v="225"/>
    <x v="2"/>
    <x v="4"/>
    <x v="5"/>
    <x v="2"/>
    <x v="5"/>
    <x v="1"/>
    <x v="1"/>
    <x v="1"/>
    <x v="0"/>
    <x v="0"/>
    <x v="12"/>
    <x v="0"/>
    <x v="0"/>
  </r>
  <r>
    <x v="229"/>
    <x v="41"/>
    <x v="212"/>
    <x v="135"/>
    <x v="226"/>
    <x v="4"/>
    <x v="2"/>
    <x v="5"/>
    <x v="1"/>
    <x v="6"/>
    <x v="17"/>
    <x v="0"/>
    <x v="0"/>
    <x v="0"/>
    <x v="0"/>
    <x v="14"/>
    <x v="0"/>
    <x v="1"/>
  </r>
  <r>
    <x v="230"/>
    <x v="41"/>
    <x v="213"/>
    <x v="14"/>
    <x v="227"/>
    <x v="1"/>
    <x v="1"/>
    <x v="2"/>
    <x v="0"/>
    <x v="5"/>
    <x v="10"/>
    <x v="0"/>
    <x v="0"/>
    <x v="0"/>
    <x v="0"/>
    <x v="11"/>
    <x v="0"/>
    <x v="0"/>
  </r>
  <r>
    <x v="231"/>
    <x v="41"/>
    <x v="214"/>
    <x v="2"/>
    <x v="228"/>
    <x v="3"/>
    <x v="2"/>
    <x v="8"/>
    <x v="0"/>
    <x v="0"/>
    <x v="35"/>
    <x v="2"/>
    <x v="0"/>
    <x v="0"/>
    <x v="0"/>
    <x v="3"/>
    <x v="0"/>
    <x v="0"/>
  </r>
  <r>
    <x v="232"/>
    <x v="41"/>
    <x v="215"/>
    <x v="136"/>
    <x v="229"/>
    <x v="0"/>
    <x v="0"/>
    <x v="3"/>
    <x v="2"/>
    <x v="1"/>
    <x v="37"/>
    <x v="0"/>
    <x v="0"/>
    <x v="0"/>
    <x v="0"/>
    <x v="18"/>
    <x v="0"/>
    <x v="0"/>
  </r>
  <r>
    <x v="233"/>
    <x v="41"/>
    <x v="216"/>
    <x v="122"/>
    <x v="230"/>
    <x v="2"/>
    <x v="1"/>
    <x v="4"/>
    <x v="1"/>
    <x v="3"/>
    <x v="14"/>
    <x v="0"/>
    <x v="0"/>
    <x v="0"/>
    <x v="0"/>
    <x v="18"/>
    <x v="0"/>
    <x v="0"/>
  </r>
  <r>
    <x v="234"/>
    <x v="42"/>
    <x v="217"/>
    <x v="137"/>
    <x v="231"/>
    <x v="2"/>
    <x v="2"/>
    <x v="6"/>
    <x v="0"/>
    <x v="6"/>
    <x v="36"/>
    <x v="3"/>
    <x v="1"/>
    <x v="0"/>
    <x v="0"/>
    <x v="15"/>
    <x v="0"/>
    <x v="0"/>
  </r>
  <r>
    <x v="235"/>
    <x v="42"/>
    <x v="218"/>
    <x v="41"/>
    <x v="232"/>
    <x v="3"/>
    <x v="1"/>
    <x v="4"/>
    <x v="0"/>
    <x v="3"/>
    <x v="40"/>
    <x v="1"/>
    <x v="1"/>
    <x v="0"/>
    <x v="0"/>
    <x v="20"/>
    <x v="0"/>
    <x v="0"/>
  </r>
  <r>
    <x v="236"/>
    <x v="42"/>
    <x v="219"/>
    <x v="138"/>
    <x v="233"/>
    <x v="2"/>
    <x v="1"/>
    <x v="8"/>
    <x v="0"/>
    <x v="6"/>
    <x v="1"/>
    <x v="0"/>
    <x v="0"/>
    <x v="0"/>
    <x v="0"/>
    <x v="14"/>
    <x v="0"/>
    <x v="0"/>
  </r>
  <r>
    <x v="237"/>
    <x v="42"/>
    <x v="215"/>
    <x v="56"/>
    <x v="234"/>
    <x v="3"/>
    <x v="4"/>
    <x v="8"/>
    <x v="0"/>
    <x v="0"/>
    <x v="15"/>
    <x v="0"/>
    <x v="0"/>
    <x v="0"/>
    <x v="0"/>
    <x v="18"/>
    <x v="0"/>
    <x v="0"/>
  </r>
  <r>
    <x v="238"/>
    <x v="42"/>
    <x v="220"/>
    <x v="49"/>
    <x v="235"/>
    <x v="2"/>
    <x v="4"/>
    <x v="1"/>
    <x v="0"/>
    <x v="1"/>
    <x v="7"/>
    <x v="0"/>
    <x v="0"/>
    <x v="0"/>
    <x v="0"/>
    <x v="10"/>
    <x v="0"/>
    <x v="0"/>
  </r>
  <r>
    <x v="239"/>
    <x v="43"/>
    <x v="221"/>
    <x v="26"/>
    <x v="236"/>
    <x v="3"/>
    <x v="2"/>
    <x v="1"/>
    <x v="0"/>
    <x v="2"/>
    <x v="2"/>
    <x v="0"/>
    <x v="0"/>
    <x v="0"/>
    <x v="0"/>
    <x v="1"/>
    <x v="0"/>
    <x v="0"/>
  </r>
  <r>
    <x v="240"/>
    <x v="43"/>
    <x v="63"/>
    <x v="95"/>
    <x v="237"/>
    <x v="2"/>
    <x v="2"/>
    <x v="4"/>
    <x v="0"/>
    <x v="2"/>
    <x v="43"/>
    <x v="1"/>
    <x v="1"/>
    <x v="0"/>
    <x v="0"/>
    <x v="9"/>
    <x v="0"/>
    <x v="0"/>
  </r>
  <r>
    <x v="241"/>
    <x v="43"/>
    <x v="222"/>
    <x v="104"/>
    <x v="238"/>
    <x v="0"/>
    <x v="2"/>
    <x v="6"/>
    <x v="0"/>
    <x v="2"/>
    <x v="14"/>
    <x v="2"/>
    <x v="0"/>
    <x v="0"/>
    <x v="0"/>
    <x v="6"/>
    <x v="0"/>
    <x v="0"/>
  </r>
  <r>
    <x v="242"/>
    <x v="43"/>
    <x v="223"/>
    <x v="139"/>
    <x v="239"/>
    <x v="3"/>
    <x v="0"/>
    <x v="4"/>
    <x v="2"/>
    <x v="6"/>
    <x v="0"/>
    <x v="1"/>
    <x v="1"/>
    <x v="0"/>
    <x v="0"/>
    <x v="10"/>
    <x v="0"/>
    <x v="1"/>
  </r>
  <r>
    <x v="243"/>
    <x v="43"/>
    <x v="224"/>
    <x v="88"/>
    <x v="215"/>
    <x v="0"/>
    <x v="1"/>
    <x v="8"/>
    <x v="0"/>
    <x v="6"/>
    <x v="18"/>
    <x v="0"/>
    <x v="0"/>
    <x v="0"/>
    <x v="0"/>
    <x v="6"/>
    <x v="0"/>
    <x v="0"/>
  </r>
  <r>
    <x v="244"/>
    <x v="43"/>
    <x v="225"/>
    <x v="116"/>
    <x v="240"/>
    <x v="1"/>
    <x v="0"/>
    <x v="8"/>
    <x v="0"/>
    <x v="3"/>
    <x v="10"/>
    <x v="0"/>
    <x v="0"/>
    <x v="0"/>
    <x v="0"/>
    <x v="1"/>
    <x v="0"/>
    <x v="0"/>
  </r>
  <r>
    <x v="245"/>
    <x v="44"/>
    <x v="226"/>
    <x v="18"/>
    <x v="241"/>
    <x v="4"/>
    <x v="1"/>
    <x v="2"/>
    <x v="0"/>
    <x v="1"/>
    <x v="7"/>
    <x v="0"/>
    <x v="0"/>
    <x v="0"/>
    <x v="0"/>
    <x v="0"/>
    <x v="0"/>
    <x v="0"/>
  </r>
  <r>
    <x v="246"/>
    <x v="44"/>
    <x v="227"/>
    <x v="11"/>
    <x v="242"/>
    <x v="2"/>
    <x v="2"/>
    <x v="1"/>
    <x v="0"/>
    <x v="6"/>
    <x v="19"/>
    <x v="0"/>
    <x v="0"/>
    <x v="0"/>
    <x v="0"/>
    <x v="1"/>
    <x v="0"/>
    <x v="0"/>
  </r>
  <r>
    <x v="247"/>
    <x v="44"/>
    <x v="228"/>
    <x v="140"/>
    <x v="243"/>
    <x v="1"/>
    <x v="0"/>
    <x v="3"/>
    <x v="1"/>
    <x v="1"/>
    <x v="40"/>
    <x v="0"/>
    <x v="0"/>
    <x v="0"/>
    <x v="0"/>
    <x v="20"/>
    <x v="0"/>
    <x v="0"/>
  </r>
  <r>
    <x v="248"/>
    <x v="44"/>
    <x v="229"/>
    <x v="13"/>
    <x v="244"/>
    <x v="2"/>
    <x v="4"/>
    <x v="3"/>
    <x v="0"/>
    <x v="3"/>
    <x v="5"/>
    <x v="0"/>
    <x v="0"/>
    <x v="0"/>
    <x v="0"/>
    <x v="15"/>
    <x v="0"/>
    <x v="0"/>
  </r>
  <r>
    <x v="249"/>
    <x v="44"/>
    <x v="230"/>
    <x v="70"/>
    <x v="245"/>
    <x v="4"/>
    <x v="4"/>
    <x v="3"/>
    <x v="0"/>
    <x v="6"/>
    <x v="37"/>
    <x v="0"/>
    <x v="0"/>
    <x v="0"/>
    <x v="0"/>
    <x v="4"/>
    <x v="0"/>
    <x v="0"/>
  </r>
  <r>
    <x v="250"/>
    <x v="45"/>
    <x v="231"/>
    <x v="48"/>
    <x v="246"/>
    <x v="1"/>
    <x v="2"/>
    <x v="2"/>
    <x v="0"/>
    <x v="2"/>
    <x v="40"/>
    <x v="0"/>
    <x v="0"/>
    <x v="0"/>
    <x v="0"/>
    <x v="0"/>
    <x v="0"/>
    <x v="0"/>
  </r>
  <r>
    <x v="251"/>
    <x v="45"/>
    <x v="232"/>
    <x v="54"/>
    <x v="247"/>
    <x v="3"/>
    <x v="2"/>
    <x v="0"/>
    <x v="0"/>
    <x v="2"/>
    <x v="31"/>
    <x v="0"/>
    <x v="0"/>
    <x v="0"/>
    <x v="0"/>
    <x v="21"/>
    <x v="0"/>
    <x v="0"/>
  </r>
  <r>
    <x v="252"/>
    <x v="45"/>
    <x v="233"/>
    <x v="141"/>
    <x v="248"/>
    <x v="2"/>
    <x v="3"/>
    <x v="3"/>
    <x v="2"/>
    <x v="0"/>
    <x v="29"/>
    <x v="0"/>
    <x v="0"/>
    <x v="0"/>
    <x v="0"/>
    <x v="4"/>
    <x v="0"/>
    <x v="0"/>
  </r>
  <r>
    <x v="253"/>
    <x v="45"/>
    <x v="234"/>
    <x v="21"/>
    <x v="249"/>
    <x v="4"/>
    <x v="0"/>
    <x v="8"/>
    <x v="0"/>
    <x v="5"/>
    <x v="37"/>
    <x v="0"/>
    <x v="0"/>
    <x v="0"/>
    <x v="0"/>
    <x v="15"/>
    <x v="0"/>
    <x v="0"/>
  </r>
  <r>
    <x v="254"/>
    <x v="45"/>
    <x v="235"/>
    <x v="21"/>
    <x v="250"/>
    <x v="2"/>
    <x v="3"/>
    <x v="2"/>
    <x v="0"/>
    <x v="4"/>
    <x v="46"/>
    <x v="0"/>
    <x v="0"/>
    <x v="0"/>
    <x v="0"/>
    <x v="3"/>
    <x v="0"/>
    <x v="0"/>
  </r>
  <r>
    <x v="255"/>
    <x v="45"/>
    <x v="236"/>
    <x v="110"/>
    <x v="251"/>
    <x v="2"/>
    <x v="0"/>
    <x v="4"/>
    <x v="0"/>
    <x v="5"/>
    <x v="4"/>
    <x v="0"/>
    <x v="0"/>
    <x v="0"/>
    <x v="0"/>
    <x v="21"/>
    <x v="0"/>
    <x v="0"/>
  </r>
  <r>
    <x v="256"/>
    <x v="46"/>
    <x v="237"/>
    <x v="18"/>
    <x v="252"/>
    <x v="1"/>
    <x v="3"/>
    <x v="1"/>
    <x v="0"/>
    <x v="6"/>
    <x v="34"/>
    <x v="2"/>
    <x v="0"/>
    <x v="0"/>
    <x v="0"/>
    <x v="7"/>
    <x v="0"/>
    <x v="0"/>
  </r>
  <r>
    <x v="257"/>
    <x v="46"/>
    <x v="238"/>
    <x v="142"/>
    <x v="253"/>
    <x v="4"/>
    <x v="0"/>
    <x v="1"/>
    <x v="2"/>
    <x v="1"/>
    <x v="31"/>
    <x v="0"/>
    <x v="0"/>
    <x v="0"/>
    <x v="0"/>
    <x v="17"/>
    <x v="0"/>
    <x v="0"/>
  </r>
  <r>
    <x v="258"/>
    <x v="46"/>
    <x v="239"/>
    <x v="143"/>
    <x v="254"/>
    <x v="3"/>
    <x v="3"/>
    <x v="6"/>
    <x v="2"/>
    <x v="6"/>
    <x v="3"/>
    <x v="1"/>
    <x v="1"/>
    <x v="0"/>
    <x v="0"/>
    <x v="10"/>
    <x v="0"/>
    <x v="0"/>
  </r>
  <r>
    <x v="259"/>
    <x v="46"/>
    <x v="240"/>
    <x v="87"/>
    <x v="255"/>
    <x v="1"/>
    <x v="4"/>
    <x v="4"/>
    <x v="0"/>
    <x v="1"/>
    <x v="13"/>
    <x v="0"/>
    <x v="0"/>
    <x v="0"/>
    <x v="0"/>
    <x v="0"/>
    <x v="0"/>
    <x v="0"/>
  </r>
  <r>
    <x v="260"/>
    <x v="46"/>
    <x v="241"/>
    <x v="73"/>
    <x v="256"/>
    <x v="3"/>
    <x v="0"/>
    <x v="6"/>
    <x v="0"/>
    <x v="1"/>
    <x v="25"/>
    <x v="0"/>
    <x v="0"/>
    <x v="0"/>
    <x v="0"/>
    <x v="18"/>
    <x v="0"/>
    <x v="0"/>
  </r>
  <r>
    <x v="261"/>
    <x v="47"/>
    <x v="242"/>
    <x v="18"/>
    <x v="257"/>
    <x v="3"/>
    <x v="1"/>
    <x v="2"/>
    <x v="2"/>
    <x v="5"/>
    <x v="4"/>
    <x v="0"/>
    <x v="0"/>
    <x v="0"/>
    <x v="0"/>
    <x v="18"/>
    <x v="0"/>
    <x v="0"/>
  </r>
  <r>
    <x v="262"/>
    <x v="47"/>
    <x v="243"/>
    <x v="144"/>
    <x v="258"/>
    <x v="3"/>
    <x v="4"/>
    <x v="5"/>
    <x v="1"/>
    <x v="4"/>
    <x v="10"/>
    <x v="0"/>
    <x v="0"/>
    <x v="0"/>
    <x v="0"/>
    <x v="1"/>
    <x v="0"/>
    <x v="0"/>
  </r>
  <r>
    <x v="263"/>
    <x v="47"/>
    <x v="100"/>
    <x v="145"/>
    <x v="259"/>
    <x v="3"/>
    <x v="1"/>
    <x v="3"/>
    <x v="0"/>
    <x v="0"/>
    <x v="37"/>
    <x v="0"/>
    <x v="0"/>
    <x v="0"/>
    <x v="0"/>
    <x v="16"/>
    <x v="0"/>
    <x v="0"/>
  </r>
  <r>
    <x v="264"/>
    <x v="47"/>
    <x v="244"/>
    <x v="90"/>
    <x v="260"/>
    <x v="2"/>
    <x v="3"/>
    <x v="0"/>
    <x v="0"/>
    <x v="5"/>
    <x v="22"/>
    <x v="0"/>
    <x v="0"/>
    <x v="0"/>
    <x v="0"/>
    <x v="12"/>
    <x v="0"/>
    <x v="0"/>
  </r>
  <r>
    <x v="265"/>
    <x v="47"/>
    <x v="245"/>
    <x v="92"/>
    <x v="261"/>
    <x v="3"/>
    <x v="2"/>
    <x v="4"/>
    <x v="0"/>
    <x v="4"/>
    <x v="11"/>
    <x v="0"/>
    <x v="0"/>
    <x v="0"/>
    <x v="0"/>
    <x v="15"/>
    <x v="0"/>
    <x v="0"/>
  </r>
  <r>
    <x v="266"/>
    <x v="47"/>
    <x v="246"/>
    <x v="146"/>
    <x v="262"/>
    <x v="1"/>
    <x v="1"/>
    <x v="4"/>
    <x v="2"/>
    <x v="2"/>
    <x v="10"/>
    <x v="0"/>
    <x v="0"/>
    <x v="0"/>
    <x v="0"/>
    <x v="18"/>
    <x v="0"/>
    <x v="0"/>
  </r>
  <r>
    <x v="267"/>
    <x v="48"/>
    <x v="247"/>
    <x v="55"/>
    <x v="263"/>
    <x v="3"/>
    <x v="0"/>
    <x v="4"/>
    <x v="0"/>
    <x v="2"/>
    <x v="18"/>
    <x v="0"/>
    <x v="0"/>
    <x v="0"/>
    <x v="0"/>
    <x v="13"/>
    <x v="0"/>
    <x v="0"/>
  </r>
  <r>
    <x v="268"/>
    <x v="48"/>
    <x v="143"/>
    <x v="4"/>
    <x v="264"/>
    <x v="3"/>
    <x v="0"/>
    <x v="6"/>
    <x v="0"/>
    <x v="1"/>
    <x v="15"/>
    <x v="0"/>
    <x v="0"/>
    <x v="0"/>
    <x v="0"/>
    <x v="19"/>
    <x v="0"/>
    <x v="0"/>
  </r>
  <r>
    <x v="269"/>
    <x v="48"/>
    <x v="248"/>
    <x v="147"/>
    <x v="265"/>
    <x v="3"/>
    <x v="3"/>
    <x v="2"/>
    <x v="2"/>
    <x v="3"/>
    <x v="1"/>
    <x v="3"/>
    <x v="1"/>
    <x v="0"/>
    <x v="0"/>
    <x v="19"/>
    <x v="0"/>
    <x v="0"/>
  </r>
  <r>
    <x v="270"/>
    <x v="48"/>
    <x v="249"/>
    <x v="105"/>
    <x v="266"/>
    <x v="3"/>
    <x v="1"/>
    <x v="4"/>
    <x v="0"/>
    <x v="6"/>
    <x v="8"/>
    <x v="0"/>
    <x v="0"/>
    <x v="0"/>
    <x v="0"/>
    <x v="7"/>
    <x v="0"/>
    <x v="0"/>
  </r>
  <r>
    <x v="271"/>
    <x v="48"/>
    <x v="250"/>
    <x v="36"/>
    <x v="267"/>
    <x v="2"/>
    <x v="1"/>
    <x v="5"/>
    <x v="0"/>
    <x v="6"/>
    <x v="4"/>
    <x v="0"/>
    <x v="0"/>
    <x v="0"/>
    <x v="0"/>
    <x v="20"/>
    <x v="0"/>
    <x v="0"/>
  </r>
  <r>
    <x v="272"/>
    <x v="49"/>
    <x v="251"/>
    <x v="26"/>
    <x v="268"/>
    <x v="2"/>
    <x v="1"/>
    <x v="4"/>
    <x v="0"/>
    <x v="1"/>
    <x v="31"/>
    <x v="0"/>
    <x v="0"/>
    <x v="0"/>
    <x v="0"/>
    <x v="20"/>
    <x v="0"/>
    <x v="0"/>
  </r>
  <r>
    <x v="273"/>
    <x v="49"/>
    <x v="252"/>
    <x v="148"/>
    <x v="269"/>
    <x v="2"/>
    <x v="2"/>
    <x v="1"/>
    <x v="0"/>
    <x v="3"/>
    <x v="1"/>
    <x v="1"/>
    <x v="1"/>
    <x v="0"/>
    <x v="0"/>
    <x v="10"/>
    <x v="0"/>
    <x v="0"/>
  </r>
  <r>
    <x v="274"/>
    <x v="49"/>
    <x v="253"/>
    <x v="12"/>
    <x v="270"/>
    <x v="1"/>
    <x v="3"/>
    <x v="3"/>
    <x v="0"/>
    <x v="4"/>
    <x v="32"/>
    <x v="0"/>
    <x v="0"/>
    <x v="0"/>
    <x v="0"/>
    <x v="6"/>
    <x v="0"/>
    <x v="0"/>
  </r>
  <r>
    <x v="275"/>
    <x v="49"/>
    <x v="254"/>
    <x v="78"/>
    <x v="271"/>
    <x v="3"/>
    <x v="4"/>
    <x v="0"/>
    <x v="0"/>
    <x v="2"/>
    <x v="35"/>
    <x v="0"/>
    <x v="0"/>
    <x v="0"/>
    <x v="0"/>
    <x v="18"/>
    <x v="0"/>
    <x v="1"/>
  </r>
  <r>
    <x v="276"/>
    <x v="49"/>
    <x v="242"/>
    <x v="129"/>
    <x v="272"/>
    <x v="4"/>
    <x v="1"/>
    <x v="3"/>
    <x v="0"/>
    <x v="6"/>
    <x v="10"/>
    <x v="3"/>
    <x v="1"/>
    <x v="0"/>
    <x v="0"/>
    <x v="18"/>
    <x v="0"/>
    <x v="0"/>
  </r>
  <r>
    <x v="277"/>
    <x v="49"/>
    <x v="255"/>
    <x v="100"/>
    <x v="273"/>
    <x v="1"/>
    <x v="3"/>
    <x v="1"/>
    <x v="0"/>
    <x v="5"/>
    <x v="35"/>
    <x v="0"/>
    <x v="0"/>
    <x v="0"/>
    <x v="0"/>
    <x v="10"/>
    <x v="0"/>
    <x v="0"/>
  </r>
  <r>
    <x v="278"/>
    <x v="50"/>
    <x v="256"/>
    <x v="17"/>
    <x v="274"/>
    <x v="1"/>
    <x v="3"/>
    <x v="1"/>
    <x v="2"/>
    <x v="3"/>
    <x v="20"/>
    <x v="0"/>
    <x v="0"/>
    <x v="0"/>
    <x v="0"/>
    <x v="1"/>
    <x v="0"/>
    <x v="0"/>
  </r>
  <r>
    <x v="279"/>
    <x v="50"/>
    <x v="257"/>
    <x v="149"/>
    <x v="275"/>
    <x v="3"/>
    <x v="2"/>
    <x v="0"/>
    <x v="2"/>
    <x v="4"/>
    <x v="6"/>
    <x v="0"/>
    <x v="0"/>
    <x v="0"/>
    <x v="0"/>
    <x v="8"/>
    <x v="0"/>
    <x v="0"/>
  </r>
  <r>
    <x v="280"/>
    <x v="50"/>
    <x v="258"/>
    <x v="150"/>
    <x v="276"/>
    <x v="3"/>
    <x v="4"/>
    <x v="5"/>
    <x v="0"/>
    <x v="2"/>
    <x v="47"/>
    <x v="0"/>
    <x v="0"/>
    <x v="0"/>
    <x v="0"/>
    <x v="11"/>
    <x v="0"/>
    <x v="0"/>
  </r>
  <r>
    <x v="281"/>
    <x v="50"/>
    <x v="259"/>
    <x v="151"/>
    <x v="277"/>
    <x v="3"/>
    <x v="0"/>
    <x v="2"/>
    <x v="0"/>
    <x v="5"/>
    <x v="44"/>
    <x v="0"/>
    <x v="0"/>
    <x v="0"/>
    <x v="0"/>
    <x v="8"/>
    <x v="0"/>
    <x v="0"/>
  </r>
  <r>
    <x v="282"/>
    <x v="50"/>
    <x v="260"/>
    <x v="81"/>
    <x v="278"/>
    <x v="3"/>
    <x v="0"/>
    <x v="1"/>
    <x v="0"/>
    <x v="3"/>
    <x v="27"/>
    <x v="0"/>
    <x v="0"/>
    <x v="0"/>
    <x v="0"/>
    <x v="15"/>
    <x v="0"/>
    <x v="0"/>
  </r>
  <r>
    <x v="283"/>
    <x v="50"/>
    <x v="261"/>
    <x v="32"/>
    <x v="279"/>
    <x v="2"/>
    <x v="3"/>
    <x v="2"/>
    <x v="0"/>
    <x v="1"/>
    <x v="6"/>
    <x v="0"/>
    <x v="0"/>
    <x v="0"/>
    <x v="0"/>
    <x v="8"/>
    <x v="0"/>
    <x v="0"/>
  </r>
  <r>
    <x v="284"/>
    <x v="51"/>
    <x v="262"/>
    <x v="102"/>
    <x v="280"/>
    <x v="1"/>
    <x v="1"/>
    <x v="1"/>
    <x v="0"/>
    <x v="1"/>
    <x v="29"/>
    <x v="0"/>
    <x v="0"/>
    <x v="0"/>
    <x v="0"/>
    <x v="1"/>
    <x v="0"/>
    <x v="0"/>
  </r>
  <r>
    <x v="285"/>
    <x v="51"/>
    <x v="161"/>
    <x v="141"/>
    <x v="281"/>
    <x v="2"/>
    <x v="3"/>
    <x v="8"/>
    <x v="0"/>
    <x v="1"/>
    <x v="31"/>
    <x v="0"/>
    <x v="0"/>
    <x v="0"/>
    <x v="0"/>
    <x v="3"/>
    <x v="0"/>
    <x v="0"/>
  </r>
  <r>
    <x v="286"/>
    <x v="51"/>
    <x v="263"/>
    <x v="152"/>
    <x v="282"/>
    <x v="2"/>
    <x v="4"/>
    <x v="0"/>
    <x v="0"/>
    <x v="6"/>
    <x v="39"/>
    <x v="0"/>
    <x v="0"/>
    <x v="0"/>
    <x v="0"/>
    <x v="16"/>
    <x v="0"/>
    <x v="0"/>
  </r>
  <r>
    <x v="287"/>
    <x v="51"/>
    <x v="264"/>
    <x v="2"/>
    <x v="279"/>
    <x v="4"/>
    <x v="0"/>
    <x v="1"/>
    <x v="0"/>
    <x v="4"/>
    <x v="40"/>
    <x v="0"/>
    <x v="0"/>
    <x v="0"/>
    <x v="0"/>
    <x v="4"/>
    <x v="0"/>
    <x v="0"/>
  </r>
  <r>
    <x v="288"/>
    <x v="51"/>
    <x v="265"/>
    <x v="153"/>
    <x v="283"/>
    <x v="2"/>
    <x v="4"/>
    <x v="8"/>
    <x v="0"/>
    <x v="1"/>
    <x v="2"/>
    <x v="0"/>
    <x v="0"/>
    <x v="0"/>
    <x v="0"/>
    <x v="9"/>
    <x v="0"/>
    <x v="0"/>
  </r>
  <r>
    <x v="289"/>
    <x v="52"/>
    <x v="266"/>
    <x v="154"/>
    <x v="284"/>
    <x v="0"/>
    <x v="1"/>
    <x v="3"/>
    <x v="0"/>
    <x v="6"/>
    <x v="24"/>
    <x v="0"/>
    <x v="0"/>
    <x v="0"/>
    <x v="0"/>
    <x v="14"/>
    <x v="0"/>
    <x v="0"/>
  </r>
  <r>
    <x v="290"/>
    <x v="52"/>
    <x v="170"/>
    <x v="105"/>
    <x v="285"/>
    <x v="3"/>
    <x v="1"/>
    <x v="6"/>
    <x v="0"/>
    <x v="0"/>
    <x v="36"/>
    <x v="0"/>
    <x v="0"/>
    <x v="0"/>
    <x v="0"/>
    <x v="4"/>
    <x v="0"/>
    <x v="0"/>
  </r>
  <r>
    <x v="291"/>
    <x v="52"/>
    <x v="267"/>
    <x v="155"/>
    <x v="286"/>
    <x v="3"/>
    <x v="2"/>
    <x v="8"/>
    <x v="0"/>
    <x v="6"/>
    <x v="36"/>
    <x v="0"/>
    <x v="0"/>
    <x v="0"/>
    <x v="0"/>
    <x v="1"/>
    <x v="0"/>
    <x v="0"/>
  </r>
  <r>
    <x v="292"/>
    <x v="52"/>
    <x v="268"/>
    <x v="2"/>
    <x v="287"/>
    <x v="3"/>
    <x v="4"/>
    <x v="4"/>
    <x v="0"/>
    <x v="2"/>
    <x v="10"/>
    <x v="0"/>
    <x v="0"/>
    <x v="0"/>
    <x v="0"/>
    <x v="10"/>
    <x v="0"/>
    <x v="1"/>
  </r>
  <r>
    <x v="293"/>
    <x v="52"/>
    <x v="82"/>
    <x v="156"/>
    <x v="288"/>
    <x v="2"/>
    <x v="0"/>
    <x v="1"/>
    <x v="2"/>
    <x v="6"/>
    <x v="32"/>
    <x v="0"/>
    <x v="0"/>
    <x v="0"/>
    <x v="0"/>
    <x v="18"/>
    <x v="0"/>
    <x v="0"/>
  </r>
  <r>
    <x v="294"/>
    <x v="52"/>
    <x v="269"/>
    <x v="64"/>
    <x v="289"/>
    <x v="4"/>
    <x v="1"/>
    <x v="8"/>
    <x v="2"/>
    <x v="4"/>
    <x v="28"/>
    <x v="0"/>
    <x v="0"/>
    <x v="0"/>
    <x v="0"/>
    <x v="10"/>
    <x v="0"/>
    <x v="0"/>
  </r>
  <r>
    <x v="295"/>
    <x v="53"/>
    <x v="45"/>
    <x v="64"/>
    <x v="290"/>
    <x v="3"/>
    <x v="2"/>
    <x v="2"/>
    <x v="0"/>
    <x v="5"/>
    <x v="39"/>
    <x v="0"/>
    <x v="0"/>
    <x v="0"/>
    <x v="0"/>
    <x v="21"/>
    <x v="0"/>
    <x v="0"/>
  </r>
  <r>
    <x v="296"/>
    <x v="53"/>
    <x v="270"/>
    <x v="43"/>
    <x v="291"/>
    <x v="0"/>
    <x v="2"/>
    <x v="6"/>
    <x v="0"/>
    <x v="6"/>
    <x v="10"/>
    <x v="0"/>
    <x v="0"/>
    <x v="0"/>
    <x v="0"/>
    <x v="22"/>
    <x v="0"/>
    <x v="0"/>
  </r>
  <r>
    <x v="297"/>
    <x v="53"/>
    <x v="271"/>
    <x v="45"/>
    <x v="292"/>
    <x v="3"/>
    <x v="2"/>
    <x v="5"/>
    <x v="0"/>
    <x v="1"/>
    <x v="14"/>
    <x v="0"/>
    <x v="0"/>
    <x v="0"/>
    <x v="0"/>
    <x v="21"/>
    <x v="0"/>
    <x v="0"/>
  </r>
  <r>
    <x v="298"/>
    <x v="53"/>
    <x v="272"/>
    <x v="157"/>
    <x v="293"/>
    <x v="0"/>
    <x v="0"/>
    <x v="1"/>
    <x v="0"/>
    <x v="2"/>
    <x v="9"/>
    <x v="1"/>
    <x v="1"/>
    <x v="0"/>
    <x v="0"/>
    <x v="12"/>
    <x v="0"/>
    <x v="0"/>
  </r>
  <r>
    <x v="299"/>
    <x v="53"/>
    <x v="273"/>
    <x v="31"/>
    <x v="294"/>
    <x v="3"/>
    <x v="0"/>
    <x v="4"/>
    <x v="0"/>
    <x v="3"/>
    <x v="4"/>
    <x v="0"/>
    <x v="0"/>
    <x v="0"/>
    <x v="0"/>
    <x v="11"/>
    <x v="0"/>
    <x v="0"/>
  </r>
  <r>
    <x v="300"/>
    <x v="54"/>
    <x v="38"/>
    <x v="47"/>
    <x v="295"/>
    <x v="3"/>
    <x v="1"/>
    <x v="5"/>
    <x v="2"/>
    <x v="1"/>
    <x v="21"/>
    <x v="0"/>
    <x v="1"/>
    <x v="0"/>
    <x v="1"/>
    <x v="10"/>
    <x v="0"/>
    <x v="0"/>
  </r>
  <r>
    <x v="301"/>
    <x v="54"/>
    <x v="274"/>
    <x v="90"/>
    <x v="295"/>
    <x v="1"/>
    <x v="3"/>
    <x v="8"/>
    <x v="0"/>
    <x v="2"/>
    <x v="28"/>
    <x v="0"/>
    <x v="0"/>
    <x v="0"/>
    <x v="1"/>
    <x v="18"/>
    <x v="0"/>
    <x v="0"/>
  </r>
  <r>
    <x v="302"/>
    <x v="54"/>
    <x v="275"/>
    <x v="5"/>
    <x v="296"/>
    <x v="3"/>
    <x v="0"/>
    <x v="5"/>
    <x v="2"/>
    <x v="0"/>
    <x v="31"/>
    <x v="0"/>
    <x v="0"/>
    <x v="0"/>
    <x v="0"/>
    <x v="20"/>
    <x v="0"/>
    <x v="0"/>
  </r>
  <r>
    <x v="303"/>
    <x v="54"/>
    <x v="276"/>
    <x v="158"/>
    <x v="297"/>
    <x v="3"/>
    <x v="0"/>
    <x v="5"/>
    <x v="0"/>
    <x v="3"/>
    <x v="29"/>
    <x v="0"/>
    <x v="0"/>
    <x v="0"/>
    <x v="0"/>
    <x v="9"/>
    <x v="0"/>
    <x v="0"/>
  </r>
  <r>
    <x v="304"/>
    <x v="54"/>
    <x v="277"/>
    <x v="0"/>
    <x v="298"/>
    <x v="3"/>
    <x v="4"/>
    <x v="6"/>
    <x v="0"/>
    <x v="0"/>
    <x v="2"/>
    <x v="0"/>
    <x v="0"/>
    <x v="0"/>
    <x v="0"/>
    <x v="15"/>
    <x v="0"/>
    <x v="0"/>
  </r>
  <r>
    <x v="305"/>
    <x v="54"/>
    <x v="278"/>
    <x v="4"/>
    <x v="299"/>
    <x v="4"/>
    <x v="0"/>
    <x v="3"/>
    <x v="2"/>
    <x v="5"/>
    <x v="47"/>
    <x v="0"/>
    <x v="0"/>
    <x v="0"/>
    <x v="0"/>
    <x v="9"/>
    <x v="0"/>
    <x v="0"/>
  </r>
  <r>
    <x v="306"/>
    <x v="55"/>
    <x v="279"/>
    <x v="65"/>
    <x v="300"/>
    <x v="1"/>
    <x v="4"/>
    <x v="5"/>
    <x v="0"/>
    <x v="2"/>
    <x v="41"/>
    <x v="0"/>
    <x v="0"/>
    <x v="0"/>
    <x v="0"/>
    <x v="15"/>
    <x v="0"/>
    <x v="0"/>
  </r>
  <r>
    <x v="307"/>
    <x v="55"/>
    <x v="280"/>
    <x v="126"/>
    <x v="301"/>
    <x v="3"/>
    <x v="2"/>
    <x v="5"/>
    <x v="0"/>
    <x v="0"/>
    <x v="17"/>
    <x v="0"/>
    <x v="0"/>
    <x v="0"/>
    <x v="0"/>
    <x v="22"/>
    <x v="0"/>
    <x v="0"/>
  </r>
  <r>
    <x v="308"/>
    <x v="55"/>
    <x v="281"/>
    <x v="18"/>
    <x v="302"/>
    <x v="2"/>
    <x v="3"/>
    <x v="1"/>
    <x v="0"/>
    <x v="5"/>
    <x v="14"/>
    <x v="0"/>
    <x v="0"/>
    <x v="0"/>
    <x v="0"/>
    <x v="5"/>
    <x v="0"/>
    <x v="0"/>
  </r>
  <r>
    <x v="309"/>
    <x v="55"/>
    <x v="282"/>
    <x v="51"/>
    <x v="303"/>
    <x v="2"/>
    <x v="0"/>
    <x v="3"/>
    <x v="0"/>
    <x v="2"/>
    <x v="30"/>
    <x v="0"/>
    <x v="0"/>
    <x v="0"/>
    <x v="0"/>
    <x v="18"/>
    <x v="0"/>
    <x v="0"/>
  </r>
  <r>
    <x v="310"/>
    <x v="55"/>
    <x v="283"/>
    <x v="143"/>
    <x v="304"/>
    <x v="3"/>
    <x v="0"/>
    <x v="6"/>
    <x v="1"/>
    <x v="2"/>
    <x v="33"/>
    <x v="0"/>
    <x v="0"/>
    <x v="0"/>
    <x v="0"/>
    <x v="1"/>
    <x v="0"/>
    <x v="0"/>
  </r>
  <r>
    <x v="311"/>
    <x v="56"/>
    <x v="284"/>
    <x v="159"/>
    <x v="305"/>
    <x v="1"/>
    <x v="2"/>
    <x v="4"/>
    <x v="0"/>
    <x v="0"/>
    <x v="29"/>
    <x v="0"/>
    <x v="0"/>
    <x v="0"/>
    <x v="0"/>
    <x v="8"/>
    <x v="0"/>
    <x v="0"/>
  </r>
  <r>
    <x v="312"/>
    <x v="56"/>
    <x v="285"/>
    <x v="160"/>
    <x v="306"/>
    <x v="3"/>
    <x v="3"/>
    <x v="8"/>
    <x v="1"/>
    <x v="2"/>
    <x v="45"/>
    <x v="0"/>
    <x v="0"/>
    <x v="0"/>
    <x v="0"/>
    <x v="4"/>
    <x v="0"/>
    <x v="0"/>
  </r>
  <r>
    <x v="313"/>
    <x v="56"/>
    <x v="92"/>
    <x v="161"/>
    <x v="307"/>
    <x v="3"/>
    <x v="3"/>
    <x v="6"/>
    <x v="1"/>
    <x v="1"/>
    <x v="3"/>
    <x v="0"/>
    <x v="0"/>
    <x v="0"/>
    <x v="0"/>
    <x v="0"/>
    <x v="0"/>
    <x v="0"/>
  </r>
  <r>
    <x v="314"/>
    <x v="56"/>
    <x v="239"/>
    <x v="112"/>
    <x v="308"/>
    <x v="2"/>
    <x v="0"/>
    <x v="6"/>
    <x v="2"/>
    <x v="2"/>
    <x v="41"/>
    <x v="0"/>
    <x v="0"/>
    <x v="0"/>
    <x v="0"/>
    <x v="10"/>
    <x v="0"/>
    <x v="0"/>
  </r>
  <r>
    <x v="315"/>
    <x v="56"/>
    <x v="187"/>
    <x v="25"/>
    <x v="309"/>
    <x v="3"/>
    <x v="3"/>
    <x v="0"/>
    <x v="0"/>
    <x v="4"/>
    <x v="28"/>
    <x v="0"/>
    <x v="0"/>
    <x v="0"/>
    <x v="0"/>
    <x v="16"/>
    <x v="0"/>
    <x v="0"/>
  </r>
  <r>
    <x v="316"/>
    <x v="56"/>
    <x v="286"/>
    <x v="145"/>
    <x v="310"/>
    <x v="1"/>
    <x v="3"/>
    <x v="6"/>
    <x v="0"/>
    <x v="5"/>
    <x v="17"/>
    <x v="0"/>
    <x v="0"/>
    <x v="0"/>
    <x v="0"/>
    <x v="15"/>
    <x v="0"/>
    <x v="0"/>
  </r>
  <r>
    <x v="317"/>
    <x v="57"/>
    <x v="287"/>
    <x v="30"/>
    <x v="311"/>
    <x v="2"/>
    <x v="2"/>
    <x v="3"/>
    <x v="2"/>
    <x v="2"/>
    <x v="28"/>
    <x v="0"/>
    <x v="0"/>
    <x v="0"/>
    <x v="0"/>
    <x v="18"/>
    <x v="0"/>
    <x v="0"/>
  </r>
  <r>
    <x v="318"/>
    <x v="57"/>
    <x v="112"/>
    <x v="148"/>
    <x v="312"/>
    <x v="3"/>
    <x v="3"/>
    <x v="0"/>
    <x v="0"/>
    <x v="4"/>
    <x v="35"/>
    <x v="0"/>
    <x v="0"/>
    <x v="0"/>
    <x v="0"/>
    <x v="13"/>
    <x v="0"/>
    <x v="0"/>
  </r>
  <r>
    <x v="319"/>
    <x v="57"/>
    <x v="288"/>
    <x v="116"/>
    <x v="313"/>
    <x v="1"/>
    <x v="3"/>
    <x v="8"/>
    <x v="0"/>
    <x v="2"/>
    <x v="15"/>
    <x v="2"/>
    <x v="0"/>
    <x v="0"/>
    <x v="0"/>
    <x v="6"/>
    <x v="0"/>
    <x v="0"/>
  </r>
  <r>
    <x v="320"/>
    <x v="57"/>
    <x v="289"/>
    <x v="12"/>
    <x v="314"/>
    <x v="3"/>
    <x v="2"/>
    <x v="5"/>
    <x v="0"/>
    <x v="2"/>
    <x v="32"/>
    <x v="0"/>
    <x v="0"/>
    <x v="0"/>
    <x v="0"/>
    <x v="11"/>
    <x v="0"/>
    <x v="1"/>
  </r>
  <r>
    <x v="321"/>
    <x v="57"/>
    <x v="290"/>
    <x v="4"/>
    <x v="315"/>
    <x v="0"/>
    <x v="0"/>
    <x v="1"/>
    <x v="0"/>
    <x v="0"/>
    <x v="43"/>
    <x v="0"/>
    <x v="0"/>
    <x v="0"/>
    <x v="0"/>
    <x v="7"/>
    <x v="0"/>
    <x v="0"/>
  </r>
  <r>
    <x v="322"/>
    <x v="58"/>
    <x v="291"/>
    <x v="40"/>
    <x v="316"/>
    <x v="1"/>
    <x v="1"/>
    <x v="1"/>
    <x v="0"/>
    <x v="1"/>
    <x v="24"/>
    <x v="0"/>
    <x v="0"/>
    <x v="0"/>
    <x v="0"/>
    <x v="11"/>
    <x v="0"/>
    <x v="0"/>
  </r>
  <r>
    <x v="323"/>
    <x v="58"/>
    <x v="292"/>
    <x v="37"/>
    <x v="317"/>
    <x v="4"/>
    <x v="0"/>
    <x v="8"/>
    <x v="0"/>
    <x v="5"/>
    <x v="33"/>
    <x v="0"/>
    <x v="0"/>
    <x v="0"/>
    <x v="0"/>
    <x v="22"/>
    <x v="0"/>
    <x v="0"/>
  </r>
  <r>
    <x v="324"/>
    <x v="58"/>
    <x v="293"/>
    <x v="162"/>
    <x v="318"/>
    <x v="1"/>
    <x v="1"/>
    <x v="8"/>
    <x v="0"/>
    <x v="1"/>
    <x v="21"/>
    <x v="2"/>
    <x v="0"/>
    <x v="0"/>
    <x v="0"/>
    <x v="14"/>
    <x v="0"/>
    <x v="0"/>
  </r>
  <r>
    <x v="325"/>
    <x v="58"/>
    <x v="294"/>
    <x v="122"/>
    <x v="319"/>
    <x v="3"/>
    <x v="1"/>
    <x v="3"/>
    <x v="2"/>
    <x v="3"/>
    <x v="25"/>
    <x v="0"/>
    <x v="0"/>
    <x v="0"/>
    <x v="0"/>
    <x v="14"/>
    <x v="0"/>
    <x v="1"/>
  </r>
  <r>
    <x v="326"/>
    <x v="58"/>
    <x v="295"/>
    <x v="136"/>
    <x v="320"/>
    <x v="2"/>
    <x v="0"/>
    <x v="2"/>
    <x v="0"/>
    <x v="0"/>
    <x v="39"/>
    <x v="0"/>
    <x v="0"/>
    <x v="0"/>
    <x v="0"/>
    <x v="23"/>
    <x v="0"/>
    <x v="0"/>
  </r>
  <r>
    <x v="327"/>
    <x v="58"/>
    <x v="296"/>
    <x v="65"/>
    <x v="321"/>
    <x v="0"/>
    <x v="1"/>
    <x v="5"/>
    <x v="1"/>
    <x v="0"/>
    <x v="17"/>
    <x v="0"/>
    <x v="0"/>
    <x v="0"/>
    <x v="0"/>
    <x v="6"/>
    <x v="0"/>
    <x v="0"/>
  </r>
  <r>
    <x v="328"/>
    <x v="59"/>
    <x v="297"/>
    <x v="53"/>
    <x v="322"/>
    <x v="2"/>
    <x v="0"/>
    <x v="8"/>
    <x v="0"/>
    <x v="1"/>
    <x v="36"/>
    <x v="2"/>
    <x v="0"/>
    <x v="0"/>
    <x v="0"/>
    <x v="11"/>
    <x v="0"/>
    <x v="0"/>
  </r>
  <r>
    <x v="329"/>
    <x v="59"/>
    <x v="298"/>
    <x v="44"/>
    <x v="323"/>
    <x v="4"/>
    <x v="3"/>
    <x v="6"/>
    <x v="2"/>
    <x v="6"/>
    <x v="1"/>
    <x v="0"/>
    <x v="0"/>
    <x v="0"/>
    <x v="0"/>
    <x v="4"/>
    <x v="0"/>
    <x v="0"/>
  </r>
  <r>
    <x v="330"/>
    <x v="59"/>
    <x v="299"/>
    <x v="68"/>
    <x v="324"/>
    <x v="4"/>
    <x v="4"/>
    <x v="3"/>
    <x v="0"/>
    <x v="0"/>
    <x v="28"/>
    <x v="0"/>
    <x v="0"/>
    <x v="0"/>
    <x v="0"/>
    <x v="12"/>
    <x v="0"/>
    <x v="1"/>
  </r>
  <r>
    <x v="331"/>
    <x v="59"/>
    <x v="300"/>
    <x v="87"/>
    <x v="325"/>
    <x v="3"/>
    <x v="0"/>
    <x v="1"/>
    <x v="2"/>
    <x v="1"/>
    <x v="41"/>
    <x v="0"/>
    <x v="0"/>
    <x v="0"/>
    <x v="0"/>
    <x v="5"/>
    <x v="0"/>
    <x v="0"/>
  </r>
  <r>
    <x v="332"/>
    <x v="59"/>
    <x v="301"/>
    <x v="150"/>
    <x v="326"/>
    <x v="3"/>
    <x v="4"/>
    <x v="4"/>
    <x v="0"/>
    <x v="0"/>
    <x v="15"/>
    <x v="0"/>
    <x v="0"/>
    <x v="0"/>
    <x v="0"/>
    <x v="15"/>
    <x v="0"/>
    <x v="0"/>
  </r>
  <r>
    <x v="333"/>
    <x v="60"/>
    <x v="302"/>
    <x v="25"/>
    <x v="327"/>
    <x v="2"/>
    <x v="2"/>
    <x v="3"/>
    <x v="2"/>
    <x v="2"/>
    <x v="23"/>
    <x v="3"/>
    <x v="1"/>
    <x v="0"/>
    <x v="0"/>
    <x v="2"/>
    <x v="0"/>
    <x v="0"/>
  </r>
  <r>
    <x v="334"/>
    <x v="60"/>
    <x v="303"/>
    <x v="132"/>
    <x v="328"/>
    <x v="1"/>
    <x v="0"/>
    <x v="1"/>
    <x v="0"/>
    <x v="1"/>
    <x v="18"/>
    <x v="0"/>
    <x v="0"/>
    <x v="0"/>
    <x v="0"/>
    <x v="15"/>
    <x v="0"/>
    <x v="0"/>
  </r>
  <r>
    <x v="335"/>
    <x v="60"/>
    <x v="119"/>
    <x v="163"/>
    <x v="329"/>
    <x v="4"/>
    <x v="0"/>
    <x v="0"/>
    <x v="2"/>
    <x v="1"/>
    <x v="22"/>
    <x v="0"/>
    <x v="1"/>
    <x v="0"/>
    <x v="0"/>
    <x v="19"/>
    <x v="0"/>
    <x v="0"/>
  </r>
  <r>
    <x v="336"/>
    <x v="60"/>
    <x v="304"/>
    <x v="42"/>
    <x v="330"/>
    <x v="4"/>
    <x v="1"/>
    <x v="3"/>
    <x v="1"/>
    <x v="4"/>
    <x v="15"/>
    <x v="0"/>
    <x v="0"/>
    <x v="0"/>
    <x v="0"/>
    <x v="18"/>
    <x v="0"/>
    <x v="0"/>
  </r>
  <r>
    <x v="337"/>
    <x v="60"/>
    <x v="34"/>
    <x v="155"/>
    <x v="331"/>
    <x v="3"/>
    <x v="3"/>
    <x v="1"/>
    <x v="0"/>
    <x v="0"/>
    <x v="5"/>
    <x v="0"/>
    <x v="0"/>
    <x v="0"/>
    <x v="0"/>
    <x v="6"/>
    <x v="0"/>
    <x v="0"/>
  </r>
  <r>
    <x v="338"/>
    <x v="60"/>
    <x v="305"/>
    <x v="121"/>
    <x v="332"/>
    <x v="3"/>
    <x v="2"/>
    <x v="2"/>
    <x v="0"/>
    <x v="0"/>
    <x v="35"/>
    <x v="0"/>
    <x v="1"/>
    <x v="0"/>
    <x v="0"/>
    <x v="9"/>
    <x v="0"/>
    <x v="0"/>
  </r>
  <r>
    <x v="339"/>
    <x v="61"/>
    <x v="306"/>
    <x v="18"/>
    <x v="333"/>
    <x v="2"/>
    <x v="0"/>
    <x v="3"/>
    <x v="2"/>
    <x v="1"/>
    <x v="44"/>
    <x v="3"/>
    <x v="1"/>
    <x v="0"/>
    <x v="0"/>
    <x v="10"/>
    <x v="0"/>
    <x v="1"/>
  </r>
  <r>
    <x v="340"/>
    <x v="61"/>
    <x v="307"/>
    <x v="155"/>
    <x v="334"/>
    <x v="3"/>
    <x v="0"/>
    <x v="3"/>
    <x v="0"/>
    <x v="2"/>
    <x v="24"/>
    <x v="0"/>
    <x v="0"/>
    <x v="0"/>
    <x v="0"/>
    <x v="16"/>
    <x v="0"/>
    <x v="0"/>
  </r>
  <r>
    <x v="341"/>
    <x v="61"/>
    <x v="308"/>
    <x v="83"/>
    <x v="335"/>
    <x v="4"/>
    <x v="1"/>
    <x v="5"/>
    <x v="2"/>
    <x v="2"/>
    <x v="25"/>
    <x v="0"/>
    <x v="0"/>
    <x v="0"/>
    <x v="0"/>
    <x v="16"/>
    <x v="0"/>
    <x v="0"/>
  </r>
  <r>
    <x v="342"/>
    <x v="61"/>
    <x v="309"/>
    <x v="101"/>
    <x v="336"/>
    <x v="1"/>
    <x v="0"/>
    <x v="8"/>
    <x v="0"/>
    <x v="5"/>
    <x v="42"/>
    <x v="0"/>
    <x v="0"/>
    <x v="0"/>
    <x v="0"/>
    <x v="13"/>
    <x v="0"/>
    <x v="0"/>
  </r>
  <r>
    <x v="343"/>
    <x v="61"/>
    <x v="292"/>
    <x v="18"/>
    <x v="337"/>
    <x v="2"/>
    <x v="0"/>
    <x v="5"/>
    <x v="0"/>
    <x v="2"/>
    <x v="12"/>
    <x v="0"/>
    <x v="0"/>
    <x v="0"/>
    <x v="0"/>
    <x v="22"/>
    <x v="0"/>
    <x v="0"/>
  </r>
  <r>
    <x v="344"/>
    <x v="61"/>
    <x v="281"/>
    <x v="159"/>
    <x v="338"/>
    <x v="3"/>
    <x v="0"/>
    <x v="3"/>
    <x v="1"/>
    <x v="0"/>
    <x v="45"/>
    <x v="0"/>
    <x v="0"/>
    <x v="0"/>
    <x v="0"/>
    <x v="5"/>
    <x v="0"/>
    <x v="0"/>
  </r>
  <r>
    <x v="345"/>
    <x v="62"/>
    <x v="219"/>
    <x v="148"/>
    <x v="339"/>
    <x v="2"/>
    <x v="3"/>
    <x v="8"/>
    <x v="0"/>
    <x v="6"/>
    <x v="46"/>
    <x v="0"/>
    <x v="0"/>
    <x v="0"/>
    <x v="0"/>
    <x v="14"/>
    <x v="0"/>
    <x v="0"/>
  </r>
  <r>
    <x v="346"/>
    <x v="62"/>
    <x v="310"/>
    <x v="121"/>
    <x v="340"/>
    <x v="1"/>
    <x v="4"/>
    <x v="1"/>
    <x v="2"/>
    <x v="4"/>
    <x v="9"/>
    <x v="3"/>
    <x v="1"/>
    <x v="0"/>
    <x v="0"/>
    <x v="10"/>
    <x v="0"/>
    <x v="1"/>
  </r>
  <r>
    <x v="347"/>
    <x v="62"/>
    <x v="311"/>
    <x v="23"/>
    <x v="341"/>
    <x v="2"/>
    <x v="1"/>
    <x v="4"/>
    <x v="0"/>
    <x v="1"/>
    <x v="44"/>
    <x v="0"/>
    <x v="0"/>
    <x v="0"/>
    <x v="0"/>
    <x v="20"/>
    <x v="0"/>
    <x v="0"/>
  </r>
  <r>
    <x v="348"/>
    <x v="62"/>
    <x v="312"/>
    <x v="164"/>
    <x v="342"/>
    <x v="3"/>
    <x v="4"/>
    <x v="4"/>
    <x v="0"/>
    <x v="3"/>
    <x v="27"/>
    <x v="0"/>
    <x v="0"/>
    <x v="0"/>
    <x v="0"/>
    <x v="19"/>
    <x v="0"/>
    <x v="0"/>
  </r>
  <r>
    <x v="349"/>
    <x v="62"/>
    <x v="313"/>
    <x v="157"/>
    <x v="343"/>
    <x v="2"/>
    <x v="0"/>
    <x v="3"/>
    <x v="0"/>
    <x v="4"/>
    <x v="2"/>
    <x v="0"/>
    <x v="0"/>
    <x v="0"/>
    <x v="0"/>
    <x v="8"/>
    <x v="0"/>
    <x v="0"/>
  </r>
  <r>
    <x v="350"/>
    <x v="63"/>
    <x v="314"/>
    <x v="136"/>
    <x v="344"/>
    <x v="4"/>
    <x v="1"/>
    <x v="2"/>
    <x v="0"/>
    <x v="6"/>
    <x v="36"/>
    <x v="0"/>
    <x v="0"/>
    <x v="0"/>
    <x v="0"/>
    <x v="16"/>
    <x v="0"/>
    <x v="0"/>
  </r>
  <r>
    <x v="351"/>
    <x v="63"/>
    <x v="292"/>
    <x v="41"/>
    <x v="345"/>
    <x v="3"/>
    <x v="0"/>
    <x v="0"/>
    <x v="0"/>
    <x v="3"/>
    <x v="26"/>
    <x v="0"/>
    <x v="0"/>
    <x v="0"/>
    <x v="0"/>
    <x v="22"/>
    <x v="0"/>
    <x v="0"/>
  </r>
  <r>
    <x v="352"/>
    <x v="63"/>
    <x v="315"/>
    <x v="28"/>
    <x v="346"/>
    <x v="3"/>
    <x v="2"/>
    <x v="1"/>
    <x v="0"/>
    <x v="4"/>
    <x v="5"/>
    <x v="0"/>
    <x v="0"/>
    <x v="0"/>
    <x v="0"/>
    <x v="5"/>
    <x v="0"/>
    <x v="0"/>
  </r>
  <r>
    <x v="353"/>
    <x v="63"/>
    <x v="316"/>
    <x v="7"/>
    <x v="347"/>
    <x v="3"/>
    <x v="4"/>
    <x v="8"/>
    <x v="0"/>
    <x v="2"/>
    <x v="46"/>
    <x v="0"/>
    <x v="0"/>
    <x v="0"/>
    <x v="0"/>
    <x v="10"/>
    <x v="0"/>
    <x v="0"/>
  </r>
  <r>
    <x v="354"/>
    <x v="63"/>
    <x v="317"/>
    <x v="56"/>
    <x v="348"/>
    <x v="2"/>
    <x v="2"/>
    <x v="3"/>
    <x v="0"/>
    <x v="0"/>
    <x v="38"/>
    <x v="3"/>
    <x v="1"/>
    <x v="0"/>
    <x v="0"/>
    <x v="15"/>
    <x v="0"/>
    <x v="0"/>
  </r>
  <r>
    <x v="355"/>
    <x v="63"/>
    <x v="318"/>
    <x v="98"/>
    <x v="349"/>
    <x v="2"/>
    <x v="1"/>
    <x v="1"/>
    <x v="2"/>
    <x v="6"/>
    <x v="3"/>
    <x v="0"/>
    <x v="0"/>
    <x v="0"/>
    <x v="0"/>
    <x v="1"/>
    <x v="0"/>
    <x v="0"/>
  </r>
  <r>
    <x v="356"/>
    <x v="64"/>
    <x v="319"/>
    <x v="17"/>
    <x v="350"/>
    <x v="1"/>
    <x v="2"/>
    <x v="3"/>
    <x v="0"/>
    <x v="3"/>
    <x v="14"/>
    <x v="0"/>
    <x v="0"/>
    <x v="0"/>
    <x v="0"/>
    <x v="5"/>
    <x v="0"/>
    <x v="0"/>
  </r>
  <r>
    <x v="357"/>
    <x v="64"/>
    <x v="320"/>
    <x v="160"/>
    <x v="351"/>
    <x v="3"/>
    <x v="0"/>
    <x v="2"/>
    <x v="0"/>
    <x v="6"/>
    <x v="42"/>
    <x v="0"/>
    <x v="0"/>
    <x v="0"/>
    <x v="0"/>
    <x v="7"/>
    <x v="0"/>
    <x v="1"/>
  </r>
  <r>
    <x v="358"/>
    <x v="64"/>
    <x v="131"/>
    <x v="165"/>
    <x v="352"/>
    <x v="3"/>
    <x v="4"/>
    <x v="6"/>
    <x v="0"/>
    <x v="4"/>
    <x v="30"/>
    <x v="3"/>
    <x v="1"/>
    <x v="0"/>
    <x v="0"/>
    <x v="15"/>
    <x v="0"/>
    <x v="0"/>
  </r>
  <r>
    <x v="359"/>
    <x v="64"/>
    <x v="321"/>
    <x v="48"/>
    <x v="353"/>
    <x v="2"/>
    <x v="1"/>
    <x v="6"/>
    <x v="0"/>
    <x v="0"/>
    <x v="34"/>
    <x v="0"/>
    <x v="0"/>
    <x v="0"/>
    <x v="0"/>
    <x v="10"/>
    <x v="0"/>
    <x v="0"/>
  </r>
  <r>
    <x v="360"/>
    <x v="64"/>
    <x v="322"/>
    <x v="126"/>
    <x v="354"/>
    <x v="1"/>
    <x v="1"/>
    <x v="2"/>
    <x v="2"/>
    <x v="6"/>
    <x v="13"/>
    <x v="0"/>
    <x v="0"/>
    <x v="0"/>
    <x v="0"/>
    <x v="21"/>
    <x v="0"/>
    <x v="0"/>
  </r>
  <r>
    <x v="361"/>
    <x v="65"/>
    <x v="323"/>
    <x v="159"/>
    <x v="355"/>
    <x v="0"/>
    <x v="2"/>
    <x v="8"/>
    <x v="0"/>
    <x v="3"/>
    <x v="26"/>
    <x v="0"/>
    <x v="0"/>
    <x v="0"/>
    <x v="0"/>
    <x v="17"/>
    <x v="0"/>
    <x v="0"/>
  </r>
  <r>
    <x v="362"/>
    <x v="65"/>
    <x v="324"/>
    <x v="166"/>
    <x v="356"/>
    <x v="3"/>
    <x v="2"/>
    <x v="5"/>
    <x v="0"/>
    <x v="1"/>
    <x v="23"/>
    <x v="0"/>
    <x v="0"/>
    <x v="0"/>
    <x v="0"/>
    <x v="11"/>
    <x v="0"/>
    <x v="0"/>
  </r>
  <r>
    <x v="363"/>
    <x v="65"/>
    <x v="325"/>
    <x v="88"/>
    <x v="357"/>
    <x v="2"/>
    <x v="0"/>
    <x v="2"/>
    <x v="0"/>
    <x v="4"/>
    <x v="9"/>
    <x v="0"/>
    <x v="0"/>
    <x v="0"/>
    <x v="0"/>
    <x v="10"/>
    <x v="0"/>
    <x v="0"/>
  </r>
  <r>
    <x v="364"/>
    <x v="65"/>
    <x v="326"/>
    <x v="153"/>
    <x v="358"/>
    <x v="1"/>
    <x v="2"/>
    <x v="3"/>
    <x v="0"/>
    <x v="1"/>
    <x v="21"/>
    <x v="0"/>
    <x v="0"/>
    <x v="0"/>
    <x v="0"/>
    <x v="4"/>
    <x v="0"/>
    <x v="0"/>
  </r>
  <r>
    <x v="365"/>
    <x v="65"/>
    <x v="327"/>
    <x v="53"/>
    <x v="359"/>
    <x v="1"/>
    <x v="0"/>
    <x v="8"/>
    <x v="2"/>
    <x v="2"/>
    <x v="5"/>
    <x v="0"/>
    <x v="0"/>
    <x v="0"/>
    <x v="0"/>
    <x v="22"/>
    <x v="0"/>
    <x v="0"/>
  </r>
  <r>
    <x v="366"/>
    <x v="65"/>
    <x v="328"/>
    <x v="166"/>
    <x v="360"/>
    <x v="2"/>
    <x v="2"/>
    <x v="4"/>
    <x v="0"/>
    <x v="1"/>
    <x v="31"/>
    <x v="0"/>
    <x v="0"/>
    <x v="0"/>
    <x v="0"/>
    <x v="8"/>
    <x v="0"/>
    <x v="0"/>
  </r>
  <r>
    <x v="367"/>
    <x v="66"/>
    <x v="271"/>
    <x v="167"/>
    <x v="361"/>
    <x v="2"/>
    <x v="3"/>
    <x v="2"/>
    <x v="2"/>
    <x v="1"/>
    <x v="33"/>
    <x v="0"/>
    <x v="0"/>
    <x v="0"/>
    <x v="0"/>
    <x v="21"/>
    <x v="0"/>
    <x v="0"/>
  </r>
  <r>
    <x v="368"/>
    <x v="66"/>
    <x v="329"/>
    <x v="144"/>
    <x v="362"/>
    <x v="0"/>
    <x v="3"/>
    <x v="8"/>
    <x v="0"/>
    <x v="5"/>
    <x v="20"/>
    <x v="0"/>
    <x v="0"/>
    <x v="0"/>
    <x v="0"/>
    <x v="2"/>
    <x v="0"/>
    <x v="0"/>
  </r>
  <r>
    <x v="369"/>
    <x v="66"/>
    <x v="330"/>
    <x v="120"/>
    <x v="363"/>
    <x v="3"/>
    <x v="2"/>
    <x v="2"/>
    <x v="0"/>
    <x v="4"/>
    <x v="35"/>
    <x v="0"/>
    <x v="0"/>
    <x v="0"/>
    <x v="0"/>
    <x v="11"/>
    <x v="0"/>
    <x v="0"/>
  </r>
  <r>
    <x v="370"/>
    <x v="66"/>
    <x v="331"/>
    <x v="168"/>
    <x v="364"/>
    <x v="3"/>
    <x v="2"/>
    <x v="2"/>
    <x v="1"/>
    <x v="2"/>
    <x v="38"/>
    <x v="0"/>
    <x v="0"/>
    <x v="0"/>
    <x v="0"/>
    <x v="7"/>
    <x v="0"/>
    <x v="0"/>
  </r>
  <r>
    <x v="371"/>
    <x v="66"/>
    <x v="332"/>
    <x v="169"/>
    <x v="365"/>
    <x v="2"/>
    <x v="0"/>
    <x v="5"/>
    <x v="0"/>
    <x v="1"/>
    <x v="10"/>
    <x v="0"/>
    <x v="0"/>
    <x v="0"/>
    <x v="0"/>
    <x v="12"/>
    <x v="0"/>
    <x v="0"/>
  </r>
  <r>
    <x v="372"/>
    <x v="67"/>
    <x v="333"/>
    <x v="55"/>
    <x v="366"/>
    <x v="1"/>
    <x v="3"/>
    <x v="5"/>
    <x v="0"/>
    <x v="0"/>
    <x v="32"/>
    <x v="0"/>
    <x v="0"/>
    <x v="0"/>
    <x v="0"/>
    <x v="17"/>
    <x v="0"/>
    <x v="0"/>
  </r>
  <r>
    <x v="373"/>
    <x v="67"/>
    <x v="334"/>
    <x v="66"/>
    <x v="367"/>
    <x v="3"/>
    <x v="0"/>
    <x v="3"/>
    <x v="0"/>
    <x v="3"/>
    <x v="21"/>
    <x v="0"/>
    <x v="0"/>
    <x v="0"/>
    <x v="0"/>
    <x v="12"/>
    <x v="0"/>
    <x v="0"/>
  </r>
  <r>
    <x v="374"/>
    <x v="67"/>
    <x v="59"/>
    <x v="69"/>
    <x v="368"/>
    <x v="3"/>
    <x v="1"/>
    <x v="8"/>
    <x v="0"/>
    <x v="1"/>
    <x v="2"/>
    <x v="0"/>
    <x v="0"/>
    <x v="0"/>
    <x v="0"/>
    <x v="16"/>
    <x v="0"/>
    <x v="0"/>
  </r>
  <r>
    <x v="375"/>
    <x v="67"/>
    <x v="335"/>
    <x v="170"/>
    <x v="369"/>
    <x v="3"/>
    <x v="0"/>
    <x v="8"/>
    <x v="0"/>
    <x v="2"/>
    <x v="20"/>
    <x v="0"/>
    <x v="0"/>
    <x v="0"/>
    <x v="0"/>
    <x v="4"/>
    <x v="0"/>
    <x v="0"/>
  </r>
  <r>
    <x v="376"/>
    <x v="67"/>
    <x v="336"/>
    <x v="83"/>
    <x v="370"/>
    <x v="4"/>
    <x v="0"/>
    <x v="0"/>
    <x v="0"/>
    <x v="1"/>
    <x v="36"/>
    <x v="0"/>
    <x v="0"/>
    <x v="0"/>
    <x v="0"/>
    <x v="15"/>
    <x v="0"/>
    <x v="0"/>
  </r>
  <r>
    <x v="377"/>
    <x v="67"/>
    <x v="43"/>
    <x v="39"/>
    <x v="371"/>
    <x v="3"/>
    <x v="2"/>
    <x v="2"/>
    <x v="0"/>
    <x v="3"/>
    <x v="28"/>
    <x v="0"/>
    <x v="0"/>
    <x v="0"/>
    <x v="0"/>
    <x v="20"/>
    <x v="0"/>
    <x v="0"/>
  </r>
  <r>
    <x v="378"/>
    <x v="68"/>
    <x v="337"/>
    <x v="171"/>
    <x v="372"/>
    <x v="3"/>
    <x v="0"/>
    <x v="6"/>
    <x v="0"/>
    <x v="2"/>
    <x v="24"/>
    <x v="0"/>
    <x v="0"/>
    <x v="0"/>
    <x v="0"/>
    <x v="3"/>
    <x v="0"/>
    <x v="0"/>
  </r>
  <r>
    <x v="379"/>
    <x v="68"/>
    <x v="338"/>
    <x v="60"/>
    <x v="373"/>
    <x v="3"/>
    <x v="3"/>
    <x v="2"/>
    <x v="0"/>
    <x v="4"/>
    <x v="40"/>
    <x v="0"/>
    <x v="0"/>
    <x v="0"/>
    <x v="0"/>
    <x v="11"/>
    <x v="0"/>
    <x v="0"/>
  </r>
  <r>
    <x v="380"/>
    <x v="68"/>
    <x v="339"/>
    <x v="48"/>
    <x v="374"/>
    <x v="3"/>
    <x v="0"/>
    <x v="2"/>
    <x v="0"/>
    <x v="2"/>
    <x v="18"/>
    <x v="0"/>
    <x v="0"/>
    <x v="0"/>
    <x v="0"/>
    <x v="18"/>
    <x v="0"/>
    <x v="0"/>
  </r>
  <r>
    <x v="381"/>
    <x v="68"/>
    <x v="340"/>
    <x v="172"/>
    <x v="375"/>
    <x v="3"/>
    <x v="0"/>
    <x v="8"/>
    <x v="0"/>
    <x v="4"/>
    <x v="38"/>
    <x v="0"/>
    <x v="0"/>
    <x v="0"/>
    <x v="0"/>
    <x v="0"/>
    <x v="0"/>
    <x v="0"/>
  </r>
  <r>
    <x v="382"/>
    <x v="68"/>
    <x v="341"/>
    <x v="4"/>
    <x v="376"/>
    <x v="1"/>
    <x v="1"/>
    <x v="2"/>
    <x v="0"/>
    <x v="2"/>
    <x v="28"/>
    <x v="0"/>
    <x v="0"/>
    <x v="0"/>
    <x v="0"/>
    <x v="17"/>
    <x v="0"/>
    <x v="0"/>
  </r>
  <r>
    <x v="383"/>
    <x v="69"/>
    <x v="342"/>
    <x v="49"/>
    <x v="377"/>
    <x v="3"/>
    <x v="0"/>
    <x v="1"/>
    <x v="1"/>
    <x v="6"/>
    <x v="18"/>
    <x v="0"/>
    <x v="0"/>
    <x v="0"/>
    <x v="0"/>
    <x v="7"/>
    <x v="0"/>
    <x v="0"/>
  </r>
  <r>
    <x v="384"/>
    <x v="69"/>
    <x v="102"/>
    <x v="30"/>
    <x v="378"/>
    <x v="4"/>
    <x v="0"/>
    <x v="2"/>
    <x v="0"/>
    <x v="3"/>
    <x v="47"/>
    <x v="0"/>
    <x v="0"/>
    <x v="0"/>
    <x v="0"/>
    <x v="10"/>
    <x v="0"/>
    <x v="0"/>
  </r>
  <r>
    <x v="385"/>
    <x v="69"/>
    <x v="84"/>
    <x v="47"/>
    <x v="379"/>
    <x v="3"/>
    <x v="2"/>
    <x v="1"/>
    <x v="2"/>
    <x v="3"/>
    <x v="17"/>
    <x v="0"/>
    <x v="0"/>
    <x v="0"/>
    <x v="0"/>
    <x v="21"/>
    <x v="0"/>
    <x v="0"/>
  </r>
  <r>
    <x v="386"/>
    <x v="69"/>
    <x v="313"/>
    <x v="99"/>
    <x v="380"/>
    <x v="1"/>
    <x v="0"/>
    <x v="5"/>
    <x v="0"/>
    <x v="2"/>
    <x v="30"/>
    <x v="0"/>
    <x v="0"/>
    <x v="0"/>
    <x v="0"/>
    <x v="8"/>
    <x v="0"/>
    <x v="0"/>
  </r>
  <r>
    <x v="387"/>
    <x v="69"/>
    <x v="343"/>
    <x v="97"/>
    <x v="381"/>
    <x v="4"/>
    <x v="3"/>
    <x v="6"/>
    <x v="0"/>
    <x v="6"/>
    <x v="27"/>
    <x v="0"/>
    <x v="0"/>
    <x v="0"/>
    <x v="0"/>
    <x v="23"/>
    <x v="0"/>
    <x v="0"/>
  </r>
  <r>
    <x v="388"/>
    <x v="69"/>
    <x v="344"/>
    <x v="173"/>
    <x v="382"/>
    <x v="2"/>
    <x v="0"/>
    <x v="3"/>
    <x v="0"/>
    <x v="1"/>
    <x v="5"/>
    <x v="0"/>
    <x v="0"/>
    <x v="0"/>
    <x v="0"/>
    <x v="0"/>
    <x v="0"/>
    <x v="0"/>
  </r>
  <r>
    <x v="389"/>
    <x v="70"/>
    <x v="345"/>
    <x v="162"/>
    <x v="383"/>
    <x v="1"/>
    <x v="0"/>
    <x v="8"/>
    <x v="0"/>
    <x v="3"/>
    <x v="2"/>
    <x v="1"/>
    <x v="1"/>
    <x v="0"/>
    <x v="0"/>
    <x v="9"/>
    <x v="0"/>
    <x v="0"/>
  </r>
  <r>
    <x v="390"/>
    <x v="70"/>
    <x v="346"/>
    <x v="166"/>
    <x v="384"/>
    <x v="3"/>
    <x v="3"/>
    <x v="2"/>
    <x v="0"/>
    <x v="4"/>
    <x v="23"/>
    <x v="0"/>
    <x v="0"/>
    <x v="0"/>
    <x v="0"/>
    <x v="23"/>
    <x v="0"/>
    <x v="0"/>
  </r>
  <r>
    <x v="391"/>
    <x v="70"/>
    <x v="347"/>
    <x v="174"/>
    <x v="385"/>
    <x v="3"/>
    <x v="0"/>
    <x v="1"/>
    <x v="0"/>
    <x v="4"/>
    <x v="20"/>
    <x v="0"/>
    <x v="0"/>
    <x v="0"/>
    <x v="0"/>
    <x v="1"/>
    <x v="0"/>
    <x v="0"/>
  </r>
  <r>
    <x v="392"/>
    <x v="70"/>
    <x v="348"/>
    <x v="152"/>
    <x v="386"/>
    <x v="2"/>
    <x v="0"/>
    <x v="1"/>
    <x v="0"/>
    <x v="0"/>
    <x v="33"/>
    <x v="0"/>
    <x v="0"/>
    <x v="0"/>
    <x v="0"/>
    <x v="15"/>
    <x v="0"/>
    <x v="0"/>
  </r>
  <r>
    <x v="393"/>
    <x v="70"/>
    <x v="349"/>
    <x v="158"/>
    <x v="387"/>
    <x v="0"/>
    <x v="1"/>
    <x v="5"/>
    <x v="2"/>
    <x v="5"/>
    <x v="42"/>
    <x v="0"/>
    <x v="0"/>
    <x v="0"/>
    <x v="0"/>
    <x v="4"/>
    <x v="0"/>
    <x v="0"/>
  </r>
  <r>
    <x v="394"/>
    <x v="70"/>
    <x v="280"/>
    <x v="15"/>
    <x v="388"/>
    <x v="2"/>
    <x v="0"/>
    <x v="1"/>
    <x v="0"/>
    <x v="6"/>
    <x v="43"/>
    <x v="0"/>
    <x v="0"/>
    <x v="0"/>
    <x v="0"/>
    <x v="22"/>
    <x v="0"/>
    <x v="0"/>
  </r>
  <r>
    <x v="395"/>
    <x v="71"/>
    <x v="350"/>
    <x v="96"/>
    <x v="389"/>
    <x v="1"/>
    <x v="3"/>
    <x v="3"/>
    <x v="0"/>
    <x v="5"/>
    <x v="47"/>
    <x v="0"/>
    <x v="0"/>
    <x v="0"/>
    <x v="0"/>
    <x v="18"/>
    <x v="0"/>
    <x v="1"/>
  </r>
  <r>
    <x v="396"/>
    <x v="71"/>
    <x v="351"/>
    <x v="17"/>
    <x v="390"/>
    <x v="2"/>
    <x v="0"/>
    <x v="4"/>
    <x v="0"/>
    <x v="5"/>
    <x v="34"/>
    <x v="0"/>
    <x v="0"/>
    <x v="0"/>
    <x v="0"/>
    <x v="22"/>
    <x v="0"/>
    <x v="0"/>
  </r>
  <r>
    <x v="397"/>
    <x v="71"/>
    <x v="352"/>
    <x v="104"/>
    <x v="391"/>
    <x v="1"/>
    <x v="3"/>
    <x v="0"/>
    <x v="0"/>
    <x v="4"/>
    <x v="3"/>
    <x v="0"/>
    <x v="0"/>
    <x v="0"/>
    <x v="0"/>
    <x v="13"/>
    <x v="0"/>
    <x v="0"/>
  </r>
  <r>
    <x v="398"/>
    <x v="71"/>
    <x v="353"/>
    <x v="4"/>
    <x v="392"/>
    <x v="3"/>
    <x v="4"/>
    <x v="3"/>
    <x v="0"/>
    <x v="0"/>
    <x v="7"/>
    <x v="0"/>
    <x v="0"/>
    <x v="0"/>
    <x v="0"/>
    <x v="6"/>
    <x v="0"/>
    <x v="0"/>
  </r>
  <r>
    <x v="399"/>
    <x v="71"/>
    <x v="354"/>
    <x v="175"/>
    <x v="393"/>
    <x v="1"/>
    <x v="1"/>
    <x v="6"/>
    <x v="0"/>
    <x v="5"/>
    <x v="0"/>
    <x v="0"/>
    <x v="0"/>
    <x v="0"/>
    <x v="0"/>
    <x v="7"/>
    <x v="0"/>
    <x v="0"/>
  </r>
  <r>
    <x v="400"/>
    <x v="72"/>
    <x v="355"/>
    <x v="79"/>
    <x v="394"/>
    <x v="0"/>
    <x v="4"/>
    <x v="3"/>
    <x v="2"/>
    <x v="5"/>
    <x v="12"/>
    <x v="0"/>
    <x v="0"/>
    <x v="0"/>
    <x v="0"/>
    <x v="2"/>
    <x v="0"/>
    <x v="0"/>
  </r>
  <r>
    <x v="401"/>
    <x v="72"/>
    <x v="186"/>
    <x v="59"/>
    <x v="395"/>
    <x v="3"/>
    <x v="1"/>
    <x v="5"/>
    <x v="2"/>
    <x v="2"/>
    <x v="36"/>
    <x v="0"/>
    <x v="1"/>
    <x v="0"/>
    <x v="0"/>
    <x v="12"/>
    <x v="0"/>
    <x v="0"/>
  </r>
  <r>
    <x v="402"/>
    <x v="72"/>
    <x v="23"/>
    <x v="165"/>
    <x v="396"/>
    <x v="2"/>
    <x v="4"/>
    <x v="5"/>
    <x v="0"/>
    <x v="2"/>
    <x v="37"/>
    <x v="0"/>
    <x v="0"/>
    <x v="0"/>
    <x v="0"/>
    <x v="12"/>
    <x v="0"/>
    <x v="0"/>
  </r>
  <r>
    <x v="403"/>
    <x v="72"/>
    <x v="356"/>
    <x v="27"/>
    <x v="397"/>
    <x v="3"/>
    <x v="0"/>
    <x v="3"/>
    <x v="0"/>
    <x v="2"/>
    <x v="29"/>
    <x v="0"/>
    <x v="0"/>
    <x v="0"/>
    <x v="0"/>
    <x v="7"/>
    <x v="0"/>
    <x v="0"/>
  </r>
  <r>
    <x v="404"/>
    <x v="72"/>
    <x v="17"/>
    <x v="176"/>
    <x v="398"/>
    <x v="1"/>
    <x v="2"/>
    <x v="2"/>
    <x v="1"/>
    <x v="1"/>
    <x v="12"/>
    <x v="0"/>
    <x v="0"/>
    <x v="0"/>
    <x v="0"/>
    <x v="11"/>
    <x v="0"/>
    <x v="0"/>
  </r>
  <r>
    <x v="405"/>
    <x v="72"/>
    <x v="34"/>
    <x v="5"/>
    <x v="399"/>
    <x v="3"/>
    <x v="1"/>
    <x v="4"/>
    <x v="0"/>
    <x v="5"/>
    <x v="41"/>
    <x v="0"/>
    <x v="0"/>
    <x v="0"/>
    <x v="0"/>
    <x v="6"/>
    <x v="0"/>
    <x v="0"/>
  </r>
  <r>
    <x v="406"/>
    <x v="73"/>
    <x v="178"/>
    <x v="166"/>
    <x v="400"/>
    <x v="1"/>
    <x v="1"/>
    <x v="2"/>
    <x v="0"/>
    <x v="1"/>
    <x v="9"/>
    <x v="0"/>
    <x v="0"/>
    <x v="0"/>
    <x v="0"/>
    <x v="11"/>
    <x v="0"/>
    <x v="0"/>
  </r>
  <r>
    <x v="407"/>
    <x v="73"/>
    <x v="357"/>
    <x v="138"/>
    <x v="401"/>
    <x v="2"/>
    <x v="2"/>
    <x v="2"/>
    <x v="0"/>
    <x v="0"/>
    <x v="5"/>
    <x v="0"/>
    <x v="0"/>
    <x v="0"/>
    <x v="0"/>
    <x v="11"/>
    <x v="0"/>
    <x v="0"/>
  </r>
  <r>
    <x v="408"/>
    <x v="73"/>
    <x v="183"/>
    <x v="96"/>
    <x v="402"/>
    <x v="3"/>
    <x v="2"/>
    <x v="3"/>
    <x v="0"/>
    <x v="6"/>
    <x v="41"/>
    <x v="0"/>
    <x v="0"/>
    <x v="0"/>
    <x v="0"/>
    <x v="16"/>
    <x v="0"/>
    <x v="0"/>
  </r>
  <r>
    <x v="409"/>
    <x v="73"/>
    <x v="318"/>
    <x v="177"/>
    <x v="403"/>
    <x v="2"/>
    <x v="0"/>
    <x v="8"/>
    <x v="0"/>
    <x v="4"/>
    <x v="18"/>
    <x v="0"/>
    <x v="0"/>
    <x v="0"/>
    <x v="0"/>
    <x v="1"/>
    <x v="0"/>
    <x v="0"/>
  </r>
  <r>
    <x v="410"/>
    <x v="73"/>
    <x v="358"/>
    <x v="94"/>
    <x v="404"/>
    <x v="2"/>
    <x v="0"/>
    <x v="8"/>
    <x v="0"/>
    <x v="5"/>
    <x v="9"/>
    <x v="0"/>
    <x v="0"/>
    <x v="0"/>
    <x v="0"/>
    <x v="17"/>
    <x v="0"/>
    <x v="0"/>
  </r>
  <r>
    <x v="411"/>
    <x v="74"/>
    <x v="359"/>
    <x v="127"/>
    <x v="405"/>
    <x v="0"/>
    <x v="2"/>
    <x v="8"/>
    <x v="0"/>
    <x v="4"/>
    <x v="19"/>
    <x v="2"/>
    <x v="0"/>
    <x v="0"/>
    <x v="0"/>
    <x v="14"/>
    <x v="0"/>
    <x v="0"/>
  </r>
  <r>
    <x v="412"/>
    <x v="74"/>
    <x v="360"/>
    <x v="21"/>
    <x v="406"/>
    <x v="3"/>
    <x v="2"/>
    <x v="4"/>
    <x v="0"/>
    <x v="6"/>
    <x v="36"/>
    <x v="3"/>
    <x v="1"/>
    <x v="0"/>
    <x v="0"/>
    <x v="2"/>
    <x v="0"/>
    <x v="0"/>
  </r>
  <r>
    <x v="413"/>
    <x v="74"/>
    <x v="324"/>
    <x v="169"/>
    <x v="407"/>
    <x v="3"/>
    <x v="4"/>
    <x v="2"/>
    <x v="2"/>
    <x v="2"/>
    <x v="3"/>
    <x v="0"/>
    <x v="0"/>
    <x v="0"/>
    <x v="0"/>
    <x v="11"/>
    <x v="0"/>
    <x v="0"/>
  </r>
  <r>
    <x v="414"/>
    <x v="74"/>
    <x v="361"/>
    <x v="74"/>
    <x v="408"/>
    <x v="3"/>
    <x v="3"/>
    <x v="0"/>
    <x v="0"/>
    <x v="5"/>
    <x v="5"/>
    <x v="0"/>
    <x v="0"/>
    <x v="0"/>
    <x v="0"/>
    <x v="3"/>
    <x v="0"/>
    <x v="0"/>
  </r>
  <r>
    <x v="415"/>
    <x v="74"/>
    <x v="362"/>
    <x v="178"/>
    <x v="409"/>
    <x v="0"/>
    <x v="4"/>
    <x v="6"/>
    <x v="0"/>
    <x v="3"/>
    <x v="22"/>
    <x v="1"/>
    <x v="1"/>
    <x v="0"/>
    <x v="0"/>
    <x v="19"/>
    <x v="0"/>
    <x v="0"/>
  </r>
  <r>
    <x v="416"/>
    <x v="74"/>
    <x v="363"/>
    <x v="179"/>
    <x v="410"/>
    <x v="0"/>
    <x v="2"/>
    <x v="8"/>
    <x v="0"/>
    <x v="1"/>
    <x v="35"/>
    <x v="0"/>
    <x v="0"/>
    <x v="0"/>
    <x v="0"/>
    <x v="15"/>
    <x v="0"/>
    <x v="0"/>
  </r>
  <r>
    <x v="417"/>
    <x v="75"/>
    <x v="111"/>
    <x v="128"/>
    <x v="411"/>
    <x v="1"/>
    <x v="0"/>
    <x v="8"/>
    <x v="0"/>
    <x v="1"/>
    <x v="18"/>
    <x v="0"/>
    <x v="0"/>
    <x v="0"/>
    <x v="0"/>
    <x v="4"/>
    <x v="0"/>
    <x v="0"/>
  </r>
  <r>
    <x v="418"/>
    <x v="75"/>
    <x v="364"/>
    <x v="40"/>
    <x v="412"/>
    <x v="4"/>
    <x v="0"/>
    <x v="5"/>
    <x v="0"/>
    <x v="5"/>
    <x v="8"/>
    <x v="0"/>
    <x v="0"/>
    <x v="0"/>
    <x v="0"/>
    <x v="5"/>
    <x v="0"/>
    <x v="0"/>
  </r>
  <r>
    <x v="419"/>
    <x v="75"/>
    <x v="365"/>
    <x v="180"/>
    <x v="413"/>
    <x v="1"/>
    <x v="3"/>
    <x v="2"/>
    <x v="0"/>
    <x v="6"/>
    <x v="41"/>
    <x v="0"/>
    <x v="0"/>
    <x v="0"/>
    <x v="0"/>
    <x v="13"/>
    <x v="0"/>
    <x v="1"/>
  </r>
  <r>
    <x v="420"/>
    <x v="75"/>
    <x v="366"/>
    <x v="115"/>
    <x v="414"/>
    <x v="2"/>
    <x v="2"/>
    <x v="2"/>
    <x v="2"/>
    <x v="2"/>
    <x v="27"/>
    <x v="0"/>
    <x v="0"/>
    <x v="0"/>
    <x v="0"/>
    <x v="13"/>
    <x v="0"/>
    <x v="0"/>
  </r>
  <r>
    <x v="421"/>
    <x v="75"/>
    <x v="312"/>
    <x v="143"/>
    <x v="415"/>
    <x v="3"/>
    <x v="0"/>
    <x v="4"/>
    <x v="2"/>
    <x v="1"/>
    <x v="26"/>
    <x v="1"/>
    <x v="1"/>
    <x v="0"/>
    <x v="0"/>
    <x v="19"/>
    <x v="0"/>
    <x v="0"/>
  </r>
  <r>
    <x v="422"/>
    <x v="76"/>
    <x v="367"/>
    <x v="46"/>
    <x v="416"/>
    <x v="2"/>
    <x v="1"/>
    <x v="4"/>
    <x v="0"/>
    <x v="2"/>
    <x v="16"/>
    <x v="0"/>
    <x v="0"/>
    <x v="0"/>
    <x v="0"/>
    <x v="0"/>
    <x v="0"/>
    <x v="0"/>
  </r>
  <r>
    <x v="423"/>
    <x v="76"/>
    <x v="368"/>
    <x v="0"/>
    <x v="417"/>
    <x v="3"/>
    <x v="4"/>
    <x v="8"/>
    <x v="0"/>
    <x v="0"/>
    <x v="31"/>
    <x v="0"/>
    <x v="0"/>
    <x v="0"/>
    <x v="0"/>
    <x v="9"/>
    <x v="0"/>
    <x v="0"/>
  </r>
  <r>
    <x v="424"/>
    <x v="76"/>
    <x v="359"/>
    <x v="96"/>
    <x v="418"/>
    <x v="4"/>
    <x v="1"/>
    <x v="2"/>
    <x v="0"/>
    <x v="4"/>
    <x v="31"/>
    <x v="0"/>
    <x v="0"/>
    <x v="0"/>
    <x v="0"/>
    <x v="14"/>
    <x v="0"/>
    <x v="0"/>
  </r>
  <r>
    <x v="425"/>
    <x v="76"/>
    <x v="369"/>
    <x v="113"/>
    <x v="419"/>
    <x v="2"/>
    <x v="1"/>
    <x v="0"/>
    <x v="2"/>
    <x v="6"/>
    <x v="3"/>
    <x v="0"/>
    <x v="0"/>
    <x v="0"/>
    <x v="0"/>
    <x v="23"/>
    <x v="0"/>
    <x v="0"/>
  </r>
  <r>
    <x v="426"/>
    <x v="76"/>
    <x v="370"/>
    <x v="72"/>
    <x v="420"/>
    <x v="2"/>
    <x v="1"/>
    <x v="6"/>
    <x v="2"/>
    <x v="3"/>
    <x v="20"/>
    <x v="2"/>
    <x v="0"/>
    <x v="0"/>
    <x v="0"/>
    <x v="1"/>
    <x v="0"/>
    <x v="0"/>
  </r>
  <r>
    <x v="427"/>
    <x v="76"/>
    <x v="371"/>
    <x v="139"/>
    <x v="421"/>
    <x v="3"/>
    <x v="0"/>
    <x v="3"/>
    <x v="0"/>
    <x v="4"/>
    <x v="36"/>
    <x v="0"/>
    <x v="0"/>
    <x v="0"/>
    <x v="0"/>
    <x v="2"/>
    <x v="0"/>
    <x v="0"/>
  </r>
  <r>
    <x v="428"/>
    <x v="77"/>
    <x v="268"/>
    <x v="181"/>
    <x v="422"/>
    <x v="3"/>
    <x v="1"/>
    <x v="2"/>
    <x v="0"/>
    <x v="4"/>
    <x v="16"/>
    <x v="3"/>
    <x v="1"/>
    <x v="0"/>
    <x v="0"/>
    <x v="10"/>
    <x v="0"/>
    <x v="0"/>
  </r>
  <r>
    <x v="429"/>
    <x v="77"/>
    <x v="372"/>
    <x v="178"/>
    <x v="193"/>
    <x v="3"/>
    <x v="1"/>
    <x v="5"/>
    <x v="0"/>
    <x v="0"/>
    <x v="25"/>
    <x v="0"/>
    <x v="0"/>
    <x v="0"/>
    <x v="0"/>
    <x v="7"/>
    <x v="0"/>
    <x v="0"/>
  </r>
  <r>
    <x v="430"/>
    <x v="77"/>
    <x v="233"/>
    <x v="39"/>
    <x v="423"/>
    <x v="3"/>
    <x v="0"/>
    <x v="3"/>
    <x v="0"/>
    <x v="1"/>
    <x v="6"/>
    <x v="0"/>
    <x v="0"/>
    <x v="0"/>
    <x v="0"/>
    <x v="4"/>
    <x v="0"/>
    <x v="0"/>
  </r>
  <r>
    <x v="431"/>
    <x v="77"/>
    <x v="373"/>
    <x v="182"/>
    <x v="424"/>
    <x v="3"/>
    <x v="3"/>
    <x v="2"/>
    <x v="0"/>
    <x v="3"/>
    <x v="5"/>
    <x v="0"/>
    <x v="0"/>
    <x v="0"/>
    <x v="0"/>
    <x v="1"/>
    <x v="0"/>
    <x v="0"/>
  </r>
  <r>
    <x v="432"/>
    <x v="77"/>
    <x v="82"/>
    <x v="54"/>
    <x v="425"/>
    <x v="0"/>
    <x v="1"/>
    <x v="1"/>
    <x v="0"/>
    <x v="1"/>
    <x v="24"/>
    <x v="0"/>
    <x v="0"/>
    <x v="0"/>
    <x v="0"/>
    <x v="18"/>
    <x v="0"/>
    <x v="0"/>
  </r>
  <r>
    <x v="433"/>
    <x v="78"/>
    <x v="374"/>
    <x v="173"/>
    <x v="426"/>
    <x v="1"/>
    <x v="3"/>
    <x v="4"/>
    <x v="0"/>
    <x v="5"/>
    <x v="29"/>
    <x v="0"/>
    <x v="0"/>
    <x v="0"/>
    <x v="0"/>
    <x v="23"/>
    <x v="0"/>
    <x v="0"/>
  </r>
  <r>
    <x v="434"/>
    <x v="78"/>
    <x v="375"/>
    <x v="13"/>
    <x v="427"/>
    <x v="3"/>
    <x v="3"/>
    <x v="5"/>
    <x v="2"/>
    <x v="4"/>
    <x v="35"/>
    <x v="0"/>
    <x v="0"/>
    <x v="0"/>
    <x v="0"/>
    <x v="21"/>
    <x v="0"/>
    <x v="0"/>
  </r>
  <r>
    <x v="435"/>
    <x v="78"/>
    <x v="376"/>
    <x v="17"/>
    <x v="428"/>
    <x v="3"/>
    <x v="0"/>
    <x v="6"/>
    <x v="1"/>
    <x v="5"/>
    <x v="26"/>
    <x v="0"/>
    <x v="0"/>
    <x v="0"/>
    <x v="0"/>
    <x v="17"/>
    <x v="0"/>
    <x v="0"/>
  </r>
  <r>
    <x v="436"/>
    <x v="78"/>
    <x v="377"/>
    <x v="153"/>
    <x v="429"/>
    <x v="1"/>
    <x v="2"/>
    <x v="8"/>
    <x v="0"/>
    <x v="2"/>
    <x v="13"/>
    <x v="0"/>
    <x v="0"/>
    <x v="0"/>
    <x v="0"/>
    <x v="6"/>
    <x v="0"/>
    <x v="0"/>
  </r>
  <r>
    <x v="437"/>
    <x v="78"/>
    <x v="378"/>
    <x v="95"/>
    <x v="430"/>
    <x v="2"/>
    <x v="1"/>
    <x v="5"/>
    <x v="0"/>
    <x v="4"/>
    <x v="14"/>
    <x v="0"/>
    <x v="0"/>
    <x v="0"/>
    <x v="0"/>
    <x v="16"/>
    <x v="0"/>
    <x v="0"/>
  </r>
  <r>
    <x v="438"/>
    <x v="78"/>
    <x v="379"/>
    <x v="83"/>
    <x v="431"/>
    <x v="1"/>
    <x v="4"/>
    <x v="2"/>
    <x v="0"/>
    <x v="1"/>
    <x v="2"/>
    <x v="0"/>
    <x v="0"/>
    <x v="0"/>
    <x v="0"/>
    <x v="8"/>
    <x v="0"/>
    <x v="0"/>
  </r>
  <r>
    <x v="439"/>
    <x v="79"/>
    <x v="380"/>
    <x v="33"/>
    <x v="432"/>
    <x v="4"/>
    <x v="0"/>
    <x v="8"/>
    <x v="0"/>
    <x v="4"/>
    <x v="0"/>
    <x v="0"/>
    <x v="0"/>
    <x v="0"/>
    <x v="0"/>
    <x v="6"/>
    <x v="0"/>
    <x v="0"/>
  </r>
  <r>
    <x v="440"/>
    <x v="79"/>
    <x v="381"/>
    <x v="52"/>
    <x v="433"/>
    <x v="1"/>
    <x v="2"/>
    <x v="2"/>
    <x v="0"/>
    <x v="2"/>
    <x v="35"/>
    <x v="0"/>
    <x v="0"/>
    <x v="0"/>
    <x v="0"/>
    <x v="7"/>
    <x v="0"/>
    <x v="0"/>
  </r>
  <r>
    <x v="441"/>
    <x v="79"/>
    <x v="382"/>
    <x v="48"/>
    <x v="434"/>
    <x v="0"/>
    <x v="2"/>
    <x v="8"/>
    <x v="0"/>
    <x v="0"/>
    <x v="33"/>
    <x v="0"/>
    <x v="0"/>
    <x v="0"/>
    <x v="0"/>
    <x v="19"/>
    <x v="0"/>
    <x v="0"/>
  </r>
  <r>
    <x v="442"/>
    <x v="79"/>
    <x v="315"/>
    <x v="85"/>
    <x v="435"/>
    <x v="4"/>
    <x v="0"/>
    <x v="6"/>
    <x v="0"/>
    <x v="5"/>
    <x v="5"/>
    <x v="0"/>
    <x v="0"/>
    <x v="0"/>
    <x v="0"/>
    <x v="5"/>
    <x v="0"/>
    <x v="0"/>
  </r>
  <r>
    <x v="443"/>
    <x v="79"/>
    <x v="249"/>
    <x v="170"/>
    <x v="436"/>
    <x v="3"/>
    <x v="0"/>
    <x v="4"/>
    <x v="0"/>
    <x v="5"/>
    <x v="3"/>
    <x v="0"/>
    <x v="0"/>
    <x v="0"/>
    <x v="0"/>
    <x v="7"/>
    <x v="0"/>
    <x v="0"/>
  </r>
  <r>
    <x v="444"/>
    <x v="80"/>
    <x v="383"/>
    <x v="183"/>
    <x v="437"/>
    <x v="0"/>
    <x v="2"/>
    <x v="6"/>
    <x v="0"/>
    <x v="1"/>
    <x v="14"/>
    <x v="0"/>
    <x v="0"/>
    <x v="0"/>
    <x v="0"/>
    <x v="20"/>
    <x v="0"/>
    <x v="0"/>
  </r>
  <r>
    <x v="445"/>
    <x v="80"/>
    <x v="384"/>
    <x v="84"/>
    <x v="438"/>
    <x v="3"/>
    <x v="2"/>
    <x v="1"/>
    <x v="0"/>
    <x v="4"/>
    <x v="39"/>
    <x v="2"/>
    <x v="0"/>
    <x v="0"/>
    <x v="0"/>
    <x v="13"/>
    <x v="0"/>
    <x v="0"/>
  </r>
  <r>
    <x v="446"/>
    <x v="80"/>
    <x v="385"/>
    <x v="61"/>
    <x v="439"/>
    <x v="4"/>
    <x v="0"/>
    <x v="0"/>
    <x v="0"/>
    <x v="1"/>
    <x v="8"/>
    <x v="0"/>
    <x v="0"/>
    <x v="0"/>
    <x v="0"/>
    <x v="5"/>
    <x v="0"/>
    <x v="0"/>
  </r>
  <r>
    <x v="447"/>
    <x v="80"/>
    <x v="386"/>
    <x v="150"/>
    <x v="440"/>
    <x v="3"/>
    <x v="2"/>
    <x v="4"/>
    <x v="0"/>
    <x v="0"/>
    <x v="19"/>
    <x v="1"/>
    <x v="1"/>
    <x v="0"/>
    <x v="0"/>
    <x v="15"/>
    <x v="0"/>
    <x v="0"/>
  </r>
  <r>
    <x v="448"/>
    <x v="80"/>
    <x v="387"/>
    <x v="184"/>
    <x v="441"/>
    <x v="4"/>
    <x v="1"/>
    <x v="6"/>
    <x v="1"/>
    <x v="4"/>
    <x v="27"/>
    <x v="1"/>
    <x v="1"/>
    <x v="0"/>
    <x v="0"/>
    <x v="15"/>
    <x v="0"/>
    <x v="0"/>
  </r>
  <r>
    <x v="449"/>
    <x v="80"/>
    <x v="388"/>
    <x v="84"/>
    <x v="442"/>
    <x v="4"/>
    <x v="2"/>
    <x v="1"/>
    <x v="0"/>
    <x v="4"/>
    <x v="15"/>
    <x v="0"/>
    <x v="0"/>
    <x v="0"/>
    <x v="0"/>
    <x v="2"/>
    <x v="0"/>
    <x v="0"/>
  </r>
  <r>
    <x v="450"/>
    <x v="81"/>
    <x v="389"/>
    <x v="0"/>
    <x v="443"/>
    <x v="4"/>
    <x v="0"/>
    <x v="0"/>
    <x v="0"/>
    <x v="1"/>
    <x v="34"/>
    <x v="0"/>
    <x v="0"/>
    <x v="0"/>
    <x v="0"/>
    <x v="12"/>
    <x v="0"/>
    <x v="0"/>
  </r>
  <r>
    <x v="451"/>
    <x v="81"/>
    <x v="324"/>
    <x v="33"/>
    <x v="444"/>
    <x v="2"/>
    <x v="4"/>
    <x v="1"/>
    <x v="2"/>
    <x v="1"/>
    <x v="29"/>
    <x v="0"/>
    <x v="0"/>
    <x v="0"/>
    <x v="0"/>
    <x v="11"/>
    <x v="0"/>
    <x v="0"/>
  </r>
  <r>
    <x v="452"/>
    <x v="81"/>
    <x v="304"/>
    <x v="144"/>
    <x v="445"/>
    <x v="3"/>
    <x v="0"/>
    <x v="2"/>
    <x v="1"/>
    <x v="2"/>
    <x v="14"/>
    <x v="0"/>
    <x v="0"/>
    <x v="0"/>
    <x v="0"/>
    <x v="18"/>
    <x v="0"/>
    <x v="0"/>
  </r>
  <r>
    <x v="453"/>
    <x v="81"/>
    <x v="390"/>
    <x v="27"/>
    <x v="446"/>
    <x v="3"/>
    <x v="1"/>
    <x v="3"/>
    <x v="0"/>
    <x v="6"/>
    <x v="2"/>
    <x v="0"/>
    <x v="0"/>
    <x v="0"/>
    <x v="0"/>
    <x v="4"/>
    <x v="0"/>
    <x v="0"/>
  </r>
  <r>
    <x v="454"/>
    <x v="81"/>
    <x v="391"/>
    <x v="177"/>
    <x v="447"/>
    <x v="1"/>
    <x v="0"/>
    <x v="2"/>
    <x v="2"/>
    <x v="6"/>
    <x v="22"/>
    <x v="0"/>
    <x v="0"/>
    <x v="0"/>
    <x v="0"/>
    <x v="23"/>
    <x v="0"/>
    <x v="0"/>
  </r>
  <r>
    <x v="455"/>
    <x v="81"/>
    <x v="12"/>
    <x v="24"/>
    <x v="448"/>
    <x v="3"/>
    <x v="0"/>
    <x v="8"/>
    <x v="0"/>
    <x v="0"/>
    <x v="47"/>
    <x v="0"/>
    <x v="0"/>
    <x v="0"/>
    <x v="0"/>
    <x v="5"/>
    <x v="0"/>
    <x v="0"/>
  </r>
  <r>
    <x v="456"/>
    <x v="82"/>
    <x v="229"/>
    <x v="66"/>
    <x v="449"/>
    <x v="2"/>
    <x v="1"/>
    <x v="4"/>
    <x v="0"/>
    <x v="6"/>
    <x v="19"/>
    <x v="0"/>
    <x v="0"/>
    <x v="0"/>
    <x v="0"/>
    <x v="15"/>
    <x v="0"/>
    <x v="0"/>
  </r>
  <r>
    <x v="457"/>
    <x v="82"/>
    <x v="392"/>
    <x v="28"/>
    <x v="450"/>
    <x v="3"/>
    <x v="0"/>
    <x v="2"/>
    <x v="0"/>
    <x v="2"/>
    <x v="28"/>
    <x v="0"/>
    <x v="0"/>
    <x v="0"/>
    <x v="0"/>
    <x v="18"/>
    <x v="0"/>
    <x v="0"/>
  </r>
  <r>
    <x v="458"/>
    <x v="82"/>
    <x v="393"/>
    <x v="103"/>
    <x v="451"/>
    <x v="0"/>
    <x v="3"/>
    <x v="5"/>
    <x v="0"/>
    <x v="5"/>
    <x v="47"/>
    <x v="0"/>
    <x v="0"/>
    <x v="0"/>
    <x v="0"/>
    <x v="0"/>
    <x v="0"/>
    <x v="0"/>
  </r>
  <r>
    <x v="459"/>
    <x v="82"/>
    <x v="394"/>
    <x v="25"/>
    <x v="452"/>
    <x v="2"/>
    <x v="0"/>
    <x v="1"/>
    <x v="0"/>
    <x v="4"/>
    <x v="5"/>
    <x v="0"/>
    <x v="0"/>
    <x v="0"/>
    <x v="0"/>
    <x v="19"/>
    <x v="0"/>
    <x v="1"/>
  </r>
  <r>
    <x v="460"/>
    <x v="82"/>
    <x v="395"/>
    <x v="168"/>
    <x v="453"/>
    <x v="4"/>
    <x v="1"/>
    <x v="4"/>
    <x v="0"/>
    <x v="1"/>
    <x v="13"/>
    <x v="0"/>
    <x v="0"/>
    <x v="0"/>
    <x v="0"/>
    <x v="11"/>
    <x v="0"/>
    <x v="0"/>
  </r>
  <r>
    <x v="461"/>
    <x v="83"/>
    <x v="117"/>
    <x v="82"/>
    <x v="454"/>
    <x v="3"/>
    <x v="0"/>
    <x v="3"/>
    <x v="0"/>
    <x v="4"/>
    <x v="47"/>
    <x v="0"/>
    <x v="0"/>
    <x v="0"/>
    <x v="0"/>
    <x v="7"/>
    <x v="0"/>
    <x v="0"/>
  </r>
  <r>
    <x v="462"/>
    <x v="83"/>
    <x v="396"/>
    <x v="33"/>
    <x v="455"/>
    <x v="4"/>
    <x v="0"/>
    <x v="5"/>
    <x v="0"/>
    <x v="4"/>
    <x v="45"/>
    <x v="0"/>
    <x v="0"/>
    <x v="0"/>
    <x v="0"/>
    <x v="10"/>
    <x v="0"/>
    <x v="0"/>
  </r>
  <r>
    <x v="463"/>
    <x v="83"/>
    <x v="28"/>
    <x v="136"/>
    <x v="456"/>
    <x v="0"/>
    <x v="0"/>
    <x v="2"/>
    <x v="0"/>
    <x v="3"/>
    <x v="2"/>
    <x v="3"/>
    <x v="1"/>
    <x v="0"/>
    <x v="0"/>
    <x v="13"/>
    <x v="0"/>
    <x v="0"/>
  </r>
  <r>
    <x v="464"/>
    <x v="83"/>
    <x v="397"/>
    <x v="96"/>
    <x v="457"/>
    <x v="1"/>
    <x v="1"/>
    <x v="8"/>
    <x v="0"/>
    <x v="5"/>
    <x v="42"/>
    <x v="0"/>
    <x v="0"/>
    <x v="0"/>
    <x v="0"/>
    <x v="18"/>
    <x v="0"/>
    <x v="0"/>
  </r>
  <r>
    <x v="465"/>
    <x v="83"/>
    <x v="380"/>
    <x v="131"/>
    <x v="458"/>
    <x v="2"/>
    <x v="1"/>
    <x v="6"/>
    <x v="0"/>
    <x v="3"/>
    <x v="21"/>
    <x v="0"/>
    <x v="0"/>
    <x v="0"/>
    <x v="0"/>
    <x v="6"/>
    <x v="0"/>
    <x v="0"/>
  </r>
  <r>
    <x v="466"/>
    <x v="83"/>
    <x v="398"/>
    <x v="9"/>
    <x v="459"/>
    <x v="2"/>
    <x v="1"/>
    <x v="8"/>
    <x v="0"/>
    <x v="6"/>
    <x v="16"/>
    <x v="0"/>
    <x v="0"/>
    <x v="0"/>
    <x v="0"/>
    <x v="19"/>
    <x v="0"/>
    <x v="0"/>
  </r>
  <r>
    <x v="467"/>
    <x v="84"/>
    <x v="399"/>
    <x v="127"/>
    <x v="460"/>
    <x v="3"/>
    <x v="2"/>
    <x v="5"/>
    <x v="2"/>
    <x v="4"/>
    <x v="21"/>
    <x v="0"/>
    <x v="0"/>
    <x v="0"/>
    <x v="0"/>
    <x v="11"/>
    <x v="0"/>
    <x v="0"/>
  </r>
  <r>
    <x v="468"/>
    <x v="84"/>
    <x v="400"/>
    <x v="67"/>
    <x v="461"/>
    <x v="1"/>
    <x v="2"/>
    <x v="0"/>
    <x v="2"/>
    <x v="1"/>
    <x v="46"/>
    <x v="0"/>
    <x v="0"/>
    <x v="0"/>
    <x v="0"/>
    <x v="22"/>
    <x v="0"/>
    <x v="0"/>
  </r>
  <r>
    <x v="469"/>
    <x v="84"/>
    <x v="401"/>
    <x v="176"/>
    <x v="462"/>
    <x v="3"/>
    <x v="0"/>
    <x v="2"/>
    <x v="0"/>
    <x v="4"/>
    <x v="29"/>
    <x v="0"/>
    <x v="0"/>
    <x v="0"/>
    <x v="0"/>
    <x v="19"/>
    <x v="0"/>
    <x v="0"/>
  </r>
  <r>
    <x v="470"/>
    <x v="84"/>
    <x v="402"/>
    <x v="137"/>
    <x v="463"/>
    <x v="3"/>
    <x v="1"/>
    <x v="5"/>
    <x v="2"/>
    <x v="5"/>
    <x v="27"/>
    <x v="0"/>
    <x v="0"/>
    <x v="0"/>
    <x v="0"/>
    <x v="2"/>
    <x v="0"/>
    <x v="0"/>
  </r>
  <r>
    <x v="471"/>
    <x v="84"/>
    <x v="403"/>
    <x v="31"/>
    <x v="464"/>
    <x v="3"/>
    <x v="4"/>
    <x v="0"/>
    <x v="0"/>
    <x v="3"/>
    <x v="3"/>
    <x v="0"/>
    <x v="0"/>
    <x v="0"/>
    <x v="0"/>
    <x v="16"/>
    <x v="0"/>
    <x v="0"/>
  </r>
  <r>
    <x v="472"/>
    <x v="85"/>
    <x v="404"/>
    <x v="185"/>
    <x v="465"/>
    <x v="3"/>
    <x v="1"/>
    <x v="0"/>
    <x v="0"/>
    <x v="1"/>
    <x v="10"/>
    <x v="0"/>
    <x v="0"/>
    <x v="0"/>
    <x v="0"/>
    <x v="22"/>
    <x v="0"/>
    <x v="0"/>
  </r>
  <r>
    <x v="473"/>
    <x v="85"/>
    <x v="405"/>
    <x v="115"/>
    <x v="466"/>
    <x v="3"/>
    <x v="2"/>
    <x v="1"/>
    <x v="0"/>
    <x v="4"/>
    <x v="21"/>
    <x v="0"/>
    <x v="0"/>
    <x v="0"/>
    <x v="0"/>
    <x v="1"/>
    <x v="0"/>
    <x v="0"/>
  </r>
  <r>
    <x v="474"/>
    <x v="85"/>
    <x v="406"/>
    <x v="137"/>
    <x v="467"/>
    <x v="3"/>
    <x v="0"/>
    <x v="4"/>
    <x v="0"/>
    <x v="0"/>
    <x v="6"/>
    <x v="1"/>
    <x v="1"/>
    <x v="0"/>
    <x v="0"/>
    <x v="19"/>
    <x v="0"/>
    <x v="0"/>
  </r>
  <r>
    <x v="475"/>
    <x v="85"/>
    <x v="407"/>
    <x v="49"/>
    <x v="468"/>
    <x v="0"/>
    <x v="3"/>
    <x v="1"/>
    <x v="0"/>
    <x v="5"/>
    <x v="19"/>
    <x v="0"/>
    <x v="0"/>
    <x v="0"/>
    <x v="0"/>
    <x v="13"/>
    <x v="0"/>
    <x v="0"/>
  </r>
  <r>
    <x v="476"/>
    <x v="85"/>
    <x v="408"/>
    <x v="88"/>
    <x v="469"/>
    <x v="1"/>
    <x v="3"/>
    <x v="2"/>
    <x v="0"/>
    <x v="5"/>
    <x v="35"/>
    <x v="0"/>
    <x v="0"/>
    <x v="0"/>
    <x v="0"/>
    <x v="18"/>
    <x v="0"/>
    <x v="0"/>
  </r>
  <r>
    <x v="477"/>
    <x v="85"/>
    <x v="409"/>
    <x v="119"/>
    <x v="470"/>
    <x v="0"/>
    <x v="2"/>
    <x v="0"/>
    <x v="2"/>
    <x v="0"/>
    <x v="18"/>
    <x v="0"/>
    <x v="1"/>
    <x v="0"/>
    <x v="0"/>
    <x v="18"/>
    <x v="0"/>
    <x v="0"/>
  </r>
  <r>
    <x v="478"/>
    <x v="86"/>
    <x v="156"/>
    <x v="185"/>
    <x v="471"/>
    <x v="1"/>
    <x v="4"/>
    <x v="3"/>
    <x v="0"/>
    <x v="4"/>
    <x v="5"/>
    <x v="0"/>
    <x v="0"/>
    <x v="0"/>
    <x v="0"/>
    <x v="5"/>
    <x v="0"/>
    <x v="0"/>
  </r>
  <r>
    <x v="479"/>
    <x v="86"/>
    <x v="410"/>
    <x v="28"/>
    <x v="472"/>
    <x v="3"/>
    <x v="0"/>
    <x v="5"/>
    <x v="0"/>
    <x v="5"/>
    <x v="47"/>
    <x v="0"/>
    <x v="0"/>
    <x v="0"/>
    <x v="0"/>
    <x v="0"/>
    <x v="0"/>
    <x v="0"/>
  </r>
  <r>
    <x v="480"/>
    <x v="86"/>
    <x v="411"/>
    <x v="176"/>
    <x v="473"/>
    <x v="1"/>
    <x v="0"/>
    <x v="6"/>
    <x v="1"/>
    <x v="1"/>
    <x v="5"/>
    <x v="0"/>
    <x v="0"/>
    <x v="0"/>
    <x v="0"/>
    <x v="9"/>
    <x v="0"/>
    <x v="0"/>
  </r>
  <r>
    <x v="481"/>
    <x v="86"/>
    <x v="412"/>
    <x v="24"/>
    <x v="474"/>
    <x v="1"/>
    <x v="3"/>
    <x v="0"/>
    <x v="0"/>
    <x v="4"/>
    <x v="22"/>
    <x v="0"/>
    <x v="0"/>
    <x v="0"/>
    <x v="0"/>
    <x v="15"/>
    <x v="0"/>
    <x v="0"/>
  </r>
  <r>
    <x v="482"/>
    <x v="86"/>
    <x v="413"/>
    <x v="166"/>
    <x v="475"/>
    <x v="3"/>
    <x v="3"/>
    <x v="5"/>
    <x v="0"/>
    <x v="4"/>
    <x v="25"/>
    <x v="2"/>
    <x v="0"/>
    <x v="0"/>
    <x v="0"/>
    <x v="19"/>
    <x v="0"/>
    <x v="0"/>
  </r>
  <r>
    <x v="483"/>
    <x v="87"/>
    <x v="414"/>
    <x v="35"/>
    <x v="476"/>
    <x v="2"/>
    <x v="0"/>
    <x v="3"/>
    <x v="0"/>
    <x v="3"/>
    <x v="41"/>
    <x v="0"/>
    <x v="0"/>
    <x v="0"/>
    <x v="0"/>
    <x v="7"/>
    <x v="0"/>
    <x v="0"/>
  </r>
  <r>
    <x v="484"/>
    <x v="87"/>
    <x v="415"/>
    <x v="95"/>
    <x v="477"/>
    <x v="3"/>
    <x v="0"/>
    <x v="6"/>
    <x v="0"/>
    <x v="5"/>
    <x v="45"/>
    <x v="0"/>
    <x v="0"/>
    <x v="0"/>
    <x v="0"/>
    <x v="17"/>
    <x v="0"/>
    <x v="0"/>
  </r>
  <r>
    <x v="485"/>
    <x v="87"/>
    <x v="416"/>
    <x v="115"/>
    <x v="478"/>
    <x v="2"/>
    <x v="0"/>
    <x v="1"/>
    <x v="0"/>
    <x v="5"/>
    <x v="45"/>
    <x v="0"/>
    <x v="0"/>
    <x v="0"/>
    <x v="0"/>
    <x v="11"/>
    <x v="0"/>
    <x v="0"/>
  </r>
  <r>
    <x v="486"/>
    <x v="87"/>
    <x v="127"/>
    <x v="58"/>
    <x v="479"/>
    <x v="2"/>
    <x v="0"/>
    <x v="1"/>
    <x v="0"/>
    <x v="0"/>
    <x v="9"/>
    <x v="0"/>
    <x v="0"/>
    <x v="0"/>
    <x v="0"/>
    <x v="19"/>
    <x v="0"/>
    <x v="0"/>
  </r>
  <r>
    <x v="487"/>
    <x v="87"/>
    <x v="417"/>
    <x v="108"/>
    <x v="480"/>
    <x v="3"/>
    <x v="3"/>
    <x v="4"/>
    <x v="0"/>
    <x v="3"/>
    <x v="17"/>
    <x v="0"/>
    <x v="0"/>
    <x v="0"/>
    <x v="0"/>
    <x v="9"/>
    <x v="0"/>
    <x v="0"/>
  </r>
  <r>
    <x v="488"/>
    <x v="87"/>
    <x v="418"/>
    <x v="181"/>
    <x v="481"/>
    <x v="3"/>
    <x v="1"/>
    <x v="5"/>
    <x v="0"/>
    <x v="6"/>
    <x v="5"/>
    <x v="0"/>
    <x v="0"/>
    <x v="0"/>
    <x v="0"/>
    <x v="12"/>
    <x v="0"/>
    <x v="0"/>
  </r>
  <r>
    <x v="489"/>
    <x v="88"/>
    <x v="419"/>
    <x v="28"/>
    <x v="482"/>
    <x v="2"/>
    <x v="1"/>
    <x v="0"/>
    <x v="0"/>
    <x v="3"/>
    <x v="19"/>
    <x v="0"/>
    <x v="0"/>
    <x v="0"/>
    <x v="0"/>
    <x v="1"/>
    <x v="0"/>
    <x v="0"/>
  </r>
  <r>
    <x v="490"/>
    <x v="88"/>
    <x v="420"/>
    <x v="88"/>
    <x v="483"/>
    <x v="5"/>
    <x v="1"/>
    <x v="8"/>
    <x v="0"/>
    <x v="5"/>
    <x v="45"/>
    <x v="0"/>
    <x v="0"/>
    <x v="0"/>
    <x v="1"/>
    <x v="17"/>
    <x v="0"/>
    <x v="0"/>
  </r>
  <r>
    <x v="491"/>
    <x v="88"/>
    <x v="421"/>
    <x v="87"/>
    <x v="484"/>
    <x v="3"/>
    <x v="0"/>
    <x v="1"/>
    <x v="0"/>
    <x v="4"/>
    <x v="19"/>
    <x v="0"/>
    <x v="0"/>
    <x v="0"/>
    <x v="0"/>
    <x v="6"/>
    <x v="0"/>
    <x v="0"/>
  </r>
  <r>
    <x v="492"/>
    <x v="88"/>
    <x v="387"/>
    <x v="116"/>
    <x v="485"/>
    <x v="0"/>
    <x v="0"/>
    <x v="1"/>
    <x v="2"/>
    <x v="3"/>
    <x v="24"/>
    <x v="3"/>
    <x v="1"/>
    <x v="0"/>
    <x v="0"/>
    <x v="15"/>
    <x v="0"/>
    <x v="0"/>
  </r>
  <r>
    <x v="493"/>
    <x v="88"/>
    <x v="422"/>
    <x v="186"/>
    <x v="486"/>
    <x v="3"/>
    <x v="2"/>
    <x v="4"/>
    <x v="0"/>
    <x v="0"/>
    <x v="45"/>
    <x v="0"/>
    <x v="0"/>
    <x v="0"/>
    <x v="0"/>
    <x v="8"/>
    <x v="0"/>
    <x v="0"/>
  </r>
  <r>
    <x v="494"/>
    <x v="89"/>
    <x v="423"/>
    <x v="42"/>
    <x v="487"/>
    <x v="2"/>
    <x v="4"/>
    <x v="6"/>
    <x v="0"/>
    <x v="3"/>
    <x v="22"/>
    <x v="0"/>
    <x v="0"/>
    <x v="0"/>
    <x v="0"/>
    <x v="19"/>
    <x v="0"/>
    <x v="0"/>
  </r>
  <r>
    <x v="495"/>
    <x v="89"/>
    <x v="424"/>
    <x v="39"/>
    <x v="488"/>
    <x v="0"/>
    <x v="3"/>
    <x v="4"/>
    <x v="0"/>
    <x v="0"/>
    <x v="3"/>
    <x v="0"/>
    <x v="0"/>
    <x v="0"/>
    <x v="0"/>
    <x v="23"/>
    <x v="0"/>
    <x v="0"/>
  </r>
  <r>
    <x v="496"/>
    <x v="89"/>
    <x v="425"/>
    <x v="18"/>
    <x v="489"/>
    <x v="3"/>
    <x v="0"/>
    <x v="3"/>
    <x v="0"/>
    <x v="6"/>
    <x v="12"/>
    <x v="0"/>
    <x v="0"/>
    <x v="0"/>
    <x v="0"/>
    <x v="9"/>
    <x v="0"/>
    <x v="0"/>
  </r>
  <r>
    <x v="497"/>
    <x v="89"/>
    <x v="426"/>
    <x v="140"/>
    <x v="490"/>
    <x v="3"/>
    <x v="4"/>
    <x v="0"/>
    <x v="0"/>
    <x v="3"/>
    <x v="34"/>
    <x v="0"/>
    <x v="0"/>
    <x v="0"/>
    <x v="0"/>
    <x v="18"/>
    <x v="0"/>
    <x v="0"/>
  </r>
  <r>
    <x v="498"/>
    <x v="89"/>
    <x v="427"/>
    <x v="64"/>
    <x v="491"/>
    <x v="3"/>
    <x v="3"/>
    <x v="5"/>
    <x v="0"/>
    <x v="0"/>
    <x v="0"/>
    <x v="0"/>
    <x v="0"/>
    <x v="0"/>
    <x v="0"/>
    <x v="8"/>
    <x v="0"/>
    <x v="0"/>
  </r>
  <r>
    <x v="499"/>
    <x v="89"/>
    <x v="82"/>
    <x v="133"/>
    <x v="492"/>
    <x v="3"/>
    <x v="3"/>
    <x v="2"/>
    <x v="2"/>
    <x v="3"/>
    <x v="42"/>
    <x v="1"/>
    <x v="1"/>
    <x v="0"/>
    <x v="0"/>
    <x v="18"/>
    <x v="0"/>
    <x v="0"/>
  </r>
  <r>
    <x v="500"/>
    <x v="90"/>
    <x v="428"/>
    <x v="107"/>
    <x v="493"/>
    <x v="3"/>
    <x v="1"/>
    <x v="2"/>
    <x v="2"/>
    <x v="6"/>
    <x v="38"/>
    <x v="0"/>
    <x v="0"/>
    <x v="0"/>
    <x v="0"/>
    <x v="7"/>
    <x v="0"/>
    <x v="0"/>
  </r>
  <r>
    <x v="501"/>
    <x v="90"/>
    <x v="153"/>
    <x v="78"/>
    <x v="494"/>
    <x v="2"/>
    <x v="1"/>
    <x v="5"/>
    <x v="0"/>
    <x v="3"/>
    <x v="47"/>
    <x v="0"/>
    <x v="0"/>
    <x v="0"/>
    <x v="0"/>
    <x v="12"/>
    <x v="0"/>
    <x v="1"/>
  </r>
  <r>
    <x v="502"/>
    <x v="90"/>
    <x v="192"/>
    <x v="26"/>
    <x v="495"/>
    <x v="3"/>
    <x v="0"/>
    <x v="6"/>
    <x v="2"/>
    <x v="1"/>
    <x v="14"/>
    <x v="0"/>
    <x v="0"/>
    <x v="0"/>
    <x v="0"/>
    <x v="16"/>
    <x v="0"/>
    <x v="0"/>
  </r>
  <r>
    <x v="503"/>
    <x v="90"/>
    <x v="419"/>
    <x v="82"/>
    <x v="496"/>
    <x v="1"/>
    <x v="0"/>
    <x v="3"/>
    <x v="0"/>
    <x v="0"/>
    <x v="12"/>
    <x v="2"/>
    <x v="0"/>
    <x v="0"/>
    <x v="0"/>
    <x v="1"/>
    <x v="0"/>
    <x v="0"/>
  </r>
  <r>
    <x v="504"/>
    <x v="90"/>
    <x v="429"/>
    <x v="99"/>
    <x v="497"/>
    <x v="0"/>
    <x v="0"/>
    <x v="1"/>
    <x v="0"/>
    <x v="6"/>
    <x v="21"/>
    <x v="0"/>
    <x v="1"/>
    <x v="0"/>
    <x v="0"/>
    <x v="8"/>
    <x v="0"/>
    <x v="0"/>
  </r>
  <r>
    <x v="505"/>
    <x v="90"/>
    <x v="201"/>
    <x v="163"/>
    <x v="498"/>
    <x v="4"/>
    <x v="0"/>
    <x v="6"/>
    <x v="0"/>
    <x v="0"/>
    <x v="8"/>
    <x v="0"/>
    <x v="0"/>
    <x v="0"/>
    <x v="0"/>
    <x v="13"/>
    <x v="0"/>
    <x v="0"/>
  </r>
  <r>
    <x v="506"/>
    <x v="91"/>
    <x v="430"/>
    <x v="107"/>
    <x v="499"/>
    <x v="2"/>
    <x v="1"/>
    <x v="1"/>
    <x v="0"/>
    <x v="0"/>
    <x v="24"/>
    <x v="0"/>
    <x v="0"/>
    <x v="0"/>
    <x v="0"/>
    <x v="21"/>
    <x v="0"/>
    <x v="0"/>
  </r>
  <r>
    <x v="507"/>
    <x v="91"/>
    <x v="431"/>
    <x v="18"/>
    <x v="500"/>
    <x v="3"/>
    <x v="3"/>
    <x v="1"/>
    <x v="0"/>
    <x v="2"/>
    <x v="28"/>
    <x v="0"/>
    <x v="0"/>
    <x v="0"/>
    <x v="0"/>
    <x v="10"/>
    <x v="0"/>
    <x v="0"/>
  </r>
  <r>
    <x v="508"/>
    <x v="91"/>
    <x v="198"/>
    <x v="64"/>
    <x v="501"/>
    <x v="2"/>
    <x v="1"/>
    <x v="2"/>
    <x v="0"/>
    <x v="6"/>
    <x v="46"/>
    <x v="0"/>
    <x v="0"/>
    <x v="0"/>
    <x v="0"/>
    <x v="15"/>
    <x v="0"/>
    <x v="0"/>
  </r>
  <r>
    <x v="509"/>
    <x v="91"/>
    <x v="432"/>
    <x v="67"/>
    <x v="502"/>
    <x v="1"/>
    <x v="0"/>
    <x v="6"/>
    <x v="0"/>
    <x v="3"/>
    <x v="44"/>
    <x v="0"/>
    <x v="0"/>
    <x v="0"/>
    <x v="0"/>
    <x v="15"/>
    <x v="0"/>
    <x v="0"/>
  </r>
  <r>
    <x v="510"/>
    <x v="91"/>
    <x v="433"/>
    <x v="18"/>
    <x v="503"/>
    <x v="1"/>
    <x v="4"/>
    <x v="3"/>
    <x v="2"/>
    <x v="0"/>
    <x v="17"/>
    <x v="0"/>
    <x v="0"/>
    <x v="0"/>
    <x v="0"/>
    <x v="6"/>
    <x v="0"/>
    <x v="0"/>
  </r>
  <r>
    <x v="511"/>
    <x v="92"/>
    <x v="235"/>
    <x v="187"/>
    <x v="504"/>
    <x v="3"/>
    <x v="4"/>
    <x v="4"/>
    <x v="0"/>
    <x v="5"/>
    <x v="23"/>
    <x v="0"/>
    <x v="0"/>
    <x v="0"/>
    <x v="0"/>
    <x v="3"/>
    <x v="0"/>
    <x v="0"/>
  </r>
  <r>
    <x v="512"/>
    <x v="92"/>
    <x v="434"/>
    <x v="186"/>
    <x v="505"/>
    <x v="4"/>
    <x v="3"/>
    <x v="1"/>
    <x v="0"/>
    <x v="2"/>
    <x v="32"/>
    <x v="0"/>
    <x v="1"/>
    <x v="0"/>
    <x v="0"/>
    <x v="19"/>
    <x v="0"/>
    <x v="0"/>
  </r>
  <r>
    <x v="513"/>
    <x v="92"/>
    <x v="95"/>
    <x v="47"/>
    <x v="506"/>
    <x v="1"/>
    <x v="4"/>
    <x v="8"/>
    <x v="0"/>
    <x v="1"/>
    <x v="4"/>
    <x v="0"/>
    <x v="0"/>
    <x v="0"/>
    <x v="0"/>
    <x v="13"/>
    <x v="0"/>
    <x v="0"/>
  </r>
  <r>
    <x v="514"/>
    <x v="92"/>
    <x v="325"/>
    <x v="8"/>
    <x v="507"/>
    <x v="3"/>
    <x v="2"/>
    <x v="8"/>
    <x v="2"/>
    <x v="0"/>
    <x v="12"/>
    <x v="0"/>
    <x v="0"/>
    <x v="0"/>
    <x v="0"/>
    <x v="10"/>
    <x v="0"/>
    <x v="0"/>
  </r>
  <r>
    <x v="515"/>
    <x v="92"/>
    <x v="260"/>
    <x v="22"/>
    <x v="508"/>
    <x v="3"/>
    <x v="4"/>
    <x v="4"/>
    <x v="0"/>
    <x v="0"/>
    <x v="21"/>
    <x v="0"/>
    <x v="0"/>
    <x v="0"/>
    <x v="0"/>
    <x v="15"/>
    <x v="0"/>
    <x v="0"/>
  </r>
  <r>
    <x v="516"/>
    <x v="92"/>
    <x v="435"/>
    <x v="2"/>
    <x v="509"/>
    <x v="1"/>
    <x v="0"/>
    <x v="8"/>
    <x v="0"/>
    <x v="2"/>
    <x v="5"/>
    <x v="0"/>
    <x v="0"/>
    <x v="0"/>
    <x v="0"/>
    <x v="15"/>
    <x v="0"/>
    <x v="0"/>
  </r>
  <r>
    <x v="517"/>
    <x v="93"/>
    <x v="122"/>
    <x v="43"/>
    <x v="510"/>
    <x v="4"/>
    <x v="1"/>
    <x v="0"/>
    <x v="0"/>
    <x v="3"/>
    <x v="20"/>
    <x v="0"/>
    <x v="0"/>
    <x v="0"/>
    <x v="0"/>
    <x v="4"/>
    <x v="0"/>
    <x v="0"/>
  </r>
  <r>
    <x v="518"/>
    <x v="93"/>
    <x v="175"/>
    <x v="154"/>
    <x v="511"/>
    <x v="2"/>
    <x v="0"/>
    <x v="1"/>
    <x v="0"/>
    <x v="5"/>
    <x v="34"/>
    <x v="0"/>
    <x v="0"/>
    <x v="0"/>
    <x v="0"/>
    <x v="17"/>
    <x v="0"/>
    <x v="0"/>
  </r>
  <r>
    <x v="519"/>
    <x v="93"/>
    <x v="436"/>
    <x v="102"/>
    <x v="512"/>
    <x v="2"/>
    <x v="0"/>
    <x v="4"/>
    <x v="2"/>
    <x v="1"/>
    <x v="5"/>
    <x v="0"/>
    <x v="0"/>
    <x v="0"/>
    <x v="0"/>
    <x v="3"/>
    <x v="0"/>
    <x v="0"/>
  </r>
  <r>
    <x v="520"/>
    <x v="93"/>
    <x v="437"/>
    <x v="47"/>
    <x v="513"/>
    <x v="3"/>
    <x v="0"/>
    <x v="6"/>
    <x v="0"/>
    <x v="0"/>
    <x v="3"/>
    <x v="0"/>
    <x v="0"/>
    <x v="0"/>
    <x v="0"/>
    <x v="13"/>
    <x v="0"/>
    <x v="0"/>
  </r>
  <r>
    <x v="521"/>
    <x v="93"/>
    <x v="438"/>
    <x v="143"/>
    <x v="514"/>
    <x v="1"/>
    <x v="2"/>
    <x v="1"/>
    <x v="0"/>
    <x v="3"/>
    <x v="11"/>
    <x v="0"/>
    <x v="0"/>
    <x v="0"/>
    <x v="0"/>
    <x v="23"/>
    <x v="0"/>
    <x v="1"/>
  </r>
  <r>
    <x v="522"/>
    <x v="94"/>
    <x v="439"/>
    <x v="188"/>
    <x v="515"/>
    <x v="1"/>
    <x v="3"/>
    <x v="4"/>
    <x v="1"/>
    <x v="6"/>
    <x v="9"/>
    <x v="0"/>
    <x v="0"/>
    <x v="0"/>
    <x v="0"/>
    <x v="13"/>
    <x v="0"/>
    <x v="0"/>
  </r>
  <r>
    <x v="523"/>
    <x v="94"/>
    <x v="440"/>
    <x v="59"/>
    <x v="516"/>
    <x v="3"/>
    <x v="2"/>
    <x v="2"/>
    <x v="0"/>
    <x v="5"/>
    <x v="0"/>
    <x v="0"/>
    <x v="0"/>
    <x v="0"/>
    <x v="0"/>
    <x v="22"/>
    <x v="0"/>
    <x v="0"/>
  </r>
  <r>
    <x v="524"/>
    <x v="94"/>
    <x v="441"/>
    <x v="67"/>
    <x v="517"/>
    <x v="3"/>
    <x v="0"/>
    <x v="3"/>
    <x v="0"/>
    <x v="6"/>
    <x v="18"/>
    <x v="0"/>
    <x v="0"/>
    <x v="0"/>
    <x v="0"/>
    <x v="12"/>
    <x v="0"/>
    <x v="0"/>
  </r>
  <r>
    <x v="525"/>
    <x v="94"/>
    <x v="442"/>
    <x v="11"/>
    <x v="518"/>
    <x v="2"/>
    <x v="3"/>
    <x v="6"/>
    <x v="0"/>
    <x v="5"/>
    <x v="40"/>
    <x v="0"/>
    <x v="0"/>
    <x v="0"/>
    <x v="0"/>
    <x v="6"/>
    <x v="0"/>
    <x v="0"/>
  </r>
  <r>
    <x v="526"/>
    <x v="94"/>
    <x v="443"/>
    <x v="81"/>
    <x v="519"/>
    <x v="3"/>
    <x v="2"/>
    <x v="3"/>
    <x v="1"/>
    <x v="1"/>
    <x v="10"/>
    <x v="0"/>
    <x v="0"/>
    <x v="0"/>
    <x v="0"/>
    <x v="21"/>
    <x v="0"/>
    <x v="0"/>
  </r>
  <r>
    <x v="527"/>
    <x v="94"/>
    <x v="444"/>
    <x v="33"/>
    <x v="520"/>
    <x v="1"/>
    <x v="1"/>
    <x v="2"/>
    <x v="0"/>
    <x v="4"/>
    <x v="47"/>
    <x v="0"/>
    <x v="0"/>
    <x v="0"/>
    <x v="0"/>
    <x v="10"/>
    <x v="0"/>
    <x v="0"/>
  </r>
  <r>
    <x v="528"/>
    <x v="95"/>
    <x v="354"/>
    <x v="189"/>
    <x v="521"/>
    <x v="3"/>
    <x v="2"/>
    <x v="1"/>
    <x v="0"/>
    <x v="5"/>
    <x v="12"/>
    <x v="0"/>
    <x v="0"/>
    <x v="0"/>
    <x v="0"/>
    <x v="7"/>
    <x v="0"/>
    <x v="0"/>
  </r>
  <r>
    <x v="529"/>
    <x v="95"/>
    <x v="445"/>
    <x v="93"/>
    <x v="522"/>
    <x v="3"/>
    <x v="0"/>
    <x v="6"/>
    <x v="0"/>
    <x v="4"/>
    <x v="6"/>
    <x v="0"/>
    <x v="0"/>
    <x v="0"/>
    <x v="0"/>
    <x v="16"/>
    <x v="0"/>
    <x v="0"/>
  </r>
  <r>
    <x v="530"/>
    <x v="95"/>
    <x v="446"/>
    <x v="177"/>
    <x v="523"/>
    <x v="3"/>
    <x v="1"/>
    <x v="3"/>
    <x v="0"/>
    <x v="6"/>
    <x v="20"/>
    <x v="0"/>
    <x v="0"/>
    <x v="0"/>
    <x v="0"/>
    <x v="4"/>
    <x v="0"/>
    <x v="0"/>
  </r>
  <r>
    <x v="531"/>
    <x v="95"/>
    <x v="106"/>
    <x v="79"/>
    <x v="524"/>
    <x v="0"/>
    <x v="4"/>
    <x v="8"/>
    <x v="0"/>
    <x v="5"/>
    <x v="20"/>
    <x v="0"/>
    <x v="0"/>
    <x v="0"/>
    <x v="0"/>
    <x v="17"/>
    <x v="0"/>
    <x v="0"/>
  </r>
  <r>
    <x v="532"/>
    <x v="95"/>
    <x v="447"/>
    <x v="90"/>
    <x v="525"/>
    <x v="4"/>
    <x v="0"/>
    <x v="3"/>
    <x v="0"/>
    <x v="1"/>
    <x v="45"/>
    <x v="0"/>
    <x v="0"/>
    <x v="0"/>
    <x v="0"/>
    <x v="12"/>
    <x v="0"/>
    <x v="0"/>
  </r>
  <r>
    <x v="533"/>
    <x v="96"/>
    <x v="448"/>
    <x v="25"/>
    <x v="526"/>
    <x v="0"/>
    <x v="1"/>
    <x v="4"/>
    <x v="1"/>
    <x v="2"/>
    <x v="23"/>
    <x v="0"/>
    <x v="0"/>
    <x v="0"/>
    <x v="0"/>
    <x v="6"/>
    <x v="0"/>
    <x v="0"/>
  </r>
  <r>
    <x v="534"/>
    <x v="96"/>
    <x v="449"/>
    <x v="175"/>
    <x v="527"/>
    <x v="1"/>
    <x v="4"/>
    <x v="1"/>
    <x v="0"/>
    <x v="1"/>
    <x v="12"/>
    <x v="0"/>
    <x v="0"/>
    <x v="0"/>
    <x v="0"/>
    <x v="20"/>
    <x v="0"/>
    <x v="0"/>
  </r>
  <r>
    <x v="535"/>
    <x v="96"/>
    <x v="450"/>
    <x v="46"/>
    <x v="528"/>
    <x v="3"/>
    <x v="2"/>
    <x v="0"/>
    <x v="0"/>
    <x v="1"/>
    <x v="2"/>
    <x v="0"/>
    <x v="0"/>
    <x v="0"/>
    <x v="0"/>
    <x v="0"/>
    <x v="0"/>
    <x v="0"/>
  </r>
  <r>
    <x v="536"/>
    <x v="96"/>
    <x v="451"/>
    <x v="137"/>
    <x v="529"/>
    <x v="1"/>
    <x v="0"/>
    <x v="3"/>
    <x v="0"/>
    <x v="2"/>
    <x v="30"/>
    <x v="0"/>
    <x v="0"/>
    <x v="0"/>
    <x v="0"/>
    <x v="9"/>
    <x v="0"/>
    <x v="0"/>
  </r>
  <r>
    <x v="537"/>
    <x v="96"/>
    <x v="452"/>
    <x v="190"/>
    <x v="530"/>
    <x v="1"/>
    <x v="0"/>
    <x v="6"/>
    <x v="0"/>
    <x v="2"/>
    <x v="17"/>
    <x v="0"/>
    <x v="0"/>
    <x v="0"/>
    <x v="0"/>
    <x v="5"/>
    <x v="0"/>
    <x v="0"/>
  </r>
  <r>
    <x v="538"/>
    <x v="96"/>
    <x v="453"/>
    <x v="89"/>
    <x v="531"/>
    <x v="4"/>
    <x v="0"/>
    <x v="6"/>
    <x v="2"/>
    <x v="3"/>
    <x v="30"/>
    <x v="0"/>
    <x v="0"/>
    <x v="0"/>
    <x v="0"/>
    <x v="21"/>
    <x v="0"/>
    <x v="1"/>
  </r>
  <r>
    <x v="539"/>
    <x v="97"/>
    <x v="165"/>
    <x v="54"/>
    <x v="532"/>
    <x v="3"/>
    <x v="2"/>
    <x v="5"/>
    <x v="0"/>
    <x v="5"/>
    <x v="8"/>
    <x v="0"/>
    <x v="0"/>
    <x v="0"/>
    <x v="0"/>
    <x v="23"/>
    <x v="0"/>
    <x v="0"/>
  </r>
  <r>
    <x v="540"/>
    <x v="97"/>
    <x v="147"/>
    <x v="16"/>
    <x v="533"/>
    <x v="1"/>
    <x v="1"/>
    <x v="3"/>
    <x v="0"/>
    <x v="6"/>
    <x v="32"/>
    <x v="0"/>
    <x v="0"/>
    <x v="0"/>
    <x v="0"/>
    <x v="3"/>
    <x v="0"/>
    <x v="0"/>
  </r>
  <r>
    <x v="541"/>
    <x v="97"/>
    <x v="93"/>
    <x v="97"/>
    <x v="534"/>
    <x v="3"/>
    <x v="0"/>
    <x v="1"/>
    <x v="0"/>
    <x v="3"/>
    <x v="18"/>
    <x v="0"/>
    <x v="0"/>
    <x v="0"/>
    <x v="0"/>
    <x v="8"/>
    <x v="0"/>
    <x v="1"/>
  </r>
  <r>
    <x v="542"/>
    <x v="97"/>
    <x v="454"/>
    <x v="166"/>
    <x v="535"/>
    <x v="3"/>
    <x v="4"/>
    <x v="1"/>
    <x v="0"/>
    <x v="2"/>
    <x v="22"/>
    <x v="0"/>
    <x v="0"/>
    <x v="0"/>
    <x v="0"/>
    <x v="9"/>
    <x v="0"/>
    <x v="0"/>
  </r>
  <r>
    <x v="543"/>
    <x v="97"/>
    <x v="455"/>
    <x v="73"/>
    <x v="536"/>
    <x v="2"/>
    <x v="2"/>
    <x v="2"/>
    <x v="0"/>
    <x v="4"/>
    <x v="35"/>
    <x v="0"/>
    <x v="0"/>
    <x v="0"/>
    <x v="0"/>
    <x v="5"/>
    <x v="0"/>
    <x v="0"/>
  </r>
  <r>
    <x v="544"/>
    <x v="98"/>
    <x v="278"/>
    <x v="39"/>
    <x v="537"/>
    <x v="1"/>
    <x v="0"/>
    <x v="5"/>
    <x v="0"/>
    <x v="6"/>
    <x v="25"/>
    <x v="1"/>
    <x v="1"/>
    <x v="0"/>
    <x v="0"/>
    <x v="9"/>
    <x v="0"/>
    <x v="1"/>
  </r>
  <r>
    <x v="545"/>
    <x v="98"/>
    <x v="456"/>
    <x v="172"/>
    <x v="538"/>
    <x v="3"/>
    <x v="1"/>
    <x v="3"/>
    <x v="2"/>
    <x v="4"/>
    <x v="0"/>
    <x v="1"/>
    <x v="1"/>
    <x v="0"/>
    <x v="0"/>
    <x v="17"/>
    <x v="0"/>
    <x v="0"/>
  </r>
  <r>
    <x v="546"/>
    <x v="98"/>
    <x v="457"/>
    <x v="179"/>
    <x v="539"/>
    <x v="3"/>
    <x v="2"/>
    <x v="8"/>
    <x v="1"/>
    <x v="1"/>
    <x v="18"/>
    <x v="0"/>
    <x v="1"/>
    <x v="0"/>
    <x v="0"/>
    <x v="19"/>
    <x v="0"/>
    <x v="0"/>
  </r>
  <r>
    <x v="547"/>
    <x v="98"/>
    <x v="458"/>
    <x v="118"/>
    <x v="540"/>
    <x v="1"/>
    <x v="0"/>
    <x v="2"/>
    <x v="0"/>
    <x v="0"/>
    <x v="16"/>
    <x v="0"/>
    <x v="0"/>
    <x v="0"/>
    <x v="0"/>
    <x v="20"/>
    <x v="0"/>
    <x v="0"/>
  </r>
  <r>
    <x v="548"/>
    <x v="98"/>
    <x v="459"/>
    <x v="92"/>
    <x v="541"/>
    <x v="2"/>
    <x v="0"/>
    <x v="5"/>
    <x v="1"/>
    <x v="1"/>
    <x v="23"/>
    <x v="0"/>
    <x v="0"/>
    <x v="0"/>
    <x v="0"/>
    <x v="8"/>
    <x v="0"/>
    <x v="0"/>
  </r>
  <r>
    <x v="549"/>
    <x v="98"/>
    <x v="431"/>
    <x v="169"/>
    <x v="542"/>
    <x v="4"/>
    <x v="3"/>
    <x v="3"/>
    <x v="0"/>
    <x v="1"/>
    <x v="14"/>
    <x v="0"/>
    <x v="0"/>
    <x v="0"/>
    <x v="0"/>
    <x v="10"/>
    <x v="0"/>
    <x v="0"/>
  </r>
  <r>
    <x v="550"/>
    <x v="99"/>
    <x v="403"/>
    <x v="34"/>
    <x v="543"/>
    <x v="0"/>
    <x v="1"/>
    <x v="3"/>
    <x v="0"/>
    <x v="0"/>
    <x v="30"/>
    <x v="0"/>
    <x v="0"/>
    <x v="0"/>
    <x v="0"/>
    <x v="16"/>
    <x v="0"/>
    <x v="0"/>
  </r>
  <r>
    <x v="551"/>
    <x v="99"/>
    <x v="223"/>
    <x v="77"/>
    <x v="544"/>
    <x v="2"/>
    <x v="2"/>
    <x v="2"/>
    <x v="0"/>
    <x v="5"/>
    <x v="25"/>
    <x v="0"/>
    <x v="1"/>
    <x v="0"/>
    <x v="0"/>
    <x v="10"/>
    <x v="0"/>
    <x v="0"/>
  </r>
  <r>
    <x v="552"/>
    <x v="99"/>
    <x v="460"/>
    <x v="138"/>
    <x v="545"/>
    <x v="3"/>
    <x v="1"/>
    <x v="8"/>
    <x v="0"/>
    <x v="2"/>
    <x v="29"/>
    <x v="2"/>
    <x v="0"/>
    <x v="0"/>
    <x v="0"/>
    <x v="18"/>
    <x v="0"/>
    <x v="0"/>
  </r>
  <r>
    <x v="553"/>
    <x v="99"/>
    <x v="63"/>
    <x v="112"/>
    <x v="546"/>
    <x v="2"/>
    <x v="0"/>
    <x v="5"/>
    <x v="0"/>
    <x v="4"/>
    <x v="15"/>
    <x v="0"/>
    <x v="0"/>
    <x v="0"/>
    <x v="0"/>
    <x v="9"/>
    <x v="0"/>
    <x v="0"/>
  </r>
  <r>
    <x v="554"/>
    <x v="99"/>
    <x v="461"/>
    <x v="85"/>
    <x v="547"/>
    <x v="1"/>
    <x v="0"/>
    <x v="3"/>
    <x v="0"/>
    <x v="1"/>
    <x v="15"/>
    <x v="0"/>
    <x v="0"/>
    <x v="0"/>
    <x v="0"/>
    <x v="21"/>
    <x v="0"/>
    <x v="0"/>
  </r>
  <r>
    <x v="555"/>
    <x v="100"/>
    <x v="307"/>
    <x v="57"/>
    <x v="548"/>
    <x v="3"/>
    <x v="1"/>
    <x v="3"/>
    <x v="0"/>
    <x v="0"/>
    <x v="35"/>
    <x v="0"/>
    <x v="0"/>
    <x v="0"/>
    <x v="0"/>
    <x v="16"/>
    <x v="0"/>
    <x v="0"/>
  </r>
  <r>
    <x v="556"/>
    <x v="100"/>
    <x v="462"/>
    <x v="18"/>
    <x v="549"/>
    <x v="4"/>
    <x v="0"/>
    <x v="5"/>
    <x v="0"/>
    <x v="3"/>
    <x v="26"/>
    <x v="0"/>
    <x v="0"/>
    <x v="0"/>
    <x v="0"/>
    <x v="0"/>
    <x v="0"/>
    <x v="0"/>
  </r>
  <r>
    <x v="557"/>
    <x v="100"/>
    <x v="179"/>
    <x v="28"/>
    <x v="550"/>
    <x v="3"/>
    <x v="0"/>
    <x v="0"/>
    <x v="0"/>
    <x v="1"/>
    <x v="23"/>
    <x v="1"/>
    <x v="1"/>
    <x v="0"/>
    <x v="0"/>
    <x v="8"/>
    <x v="0"/>
    <x v="0"/>
  </r>
  <r>
    <x v="558"/>
    <x v="100"/>
    <x v="463"/>
    <x v="62"/>
    <x v="551"/>
    <x v="4"/>
    <x v="3"/>
    <x v="2"/>
    <x v="2"/>
    <x v="4"/>
    <x v="35"/>
    <x v="0"/>
    <x v="0"/>
    <x v="0"/>
    <x v="0"/>
    <x v="7"/>
    <x v="0"/>
    <x v="0"/>
  </r>
  <r>
    <x v="559"/>
    <x v="100"/>
    <x v="209"/>
    <x v="175"/>
    <x v="552"/>
    <x v="1"/>
    <x v="4"/>
    <x v="2"/>
    <x v="0"/>
    <x v="2"/>
    <x v="39"/>
    <x v="0"/>
    <x v="0"/>
    <x v="0"/>
    <x v="0"/>
    <x v="19"/>
    <x v="0"/>
    <x v="0"/>
  </r>
  <r>
    <x v="560"/>
    <x v="100"/>
    <x v="112"/>
    <x v="175"/>
    <x v="553"/>
    <x v="2"/>
    <x v="3"/>
    <x v="6"/>
    <x v="0"/>
    <x v="1"/>
    <x v="44"/>
    <x v="0"/>
    <x v="0"/>
    <x v="0"/>
    <x v="0"/>
    <x v="13"/>
    <x v="0"/>
    <x v="0"/>
  </r>
  <r>
    <x v="561"/>
    <x v="101"/>
    <x v="464"/>
    <x v="79"/>
    <x v="554"/>
    <x v="2"/>
    <x v="3"/>
    <x v="8"/>
    <x v="0"/>
    <x v="1"/>
    <x v="46"/>
    <x v="0"/>
    <x v="0"/>
    <x v="0"/>
    <x v="0"/>
    <x v="16"/>
    <x v="0"/>
    <x v="0"/>
  </r>
  <r>
    <x v="562"/>
    <x v="101"/>
    <x v="465"/>
    <x v="24"/>
    <x v="555"/>
    <x v="4"/>
    <x v="0"/>
    <x v="4"/>
    <x v="0"/>
    <x v="5"/>
    <x v="24"/>
    <x v="0"/>
    <x v="0"/>
    <x v="0"/>
    <x v="0"/>
    <x v="7"/>
    <x v="0"/>
    <x v="0"/>
  </r>
  <r>
    <x v="563"/>
    <x v="101"/>
    <x v="146"/>
    <x v="63"/>
    <x v="556"/>
    <x v="2"/>
    <x v="4"/>
    <x v="0"/>
    <x v="2"/>
    <x v="0"/>
    <x v="36"/>
    <x v="0"/>
    <x v="0"/>
    <x v="0"/>
    <x v="0"/>
    <x v="23"/>
    <x v="0"/>
    <x v="0"/>
  </r>
  <r>
    <x v="564"/>
    <x v="101"/>
    <x v="466"/>
    <x v="71"/>
    <x v="557"/>
    <x v="2"/>
    <x v="0"/>
    <x v="5"/>
    <x v="0"/>
    <x v="3"/>
    <x v="40"/>
    <x v="0"/>
    <x v="0"/>
    <x v="0"/>
    <x v="0"/>
    <x v="7"/>
    <x v="0"/>
    <x v="0"/>
  </r>
  <r>
    <x v="565"/>
    <x v="101"/>
    <x v="120"/>
    <x v="75"/>
    <x v="558"/>
    <x v="3"/>
    <x v="4"/>
    <x v="5"/>
    <x v="0"/>
    <x v="3"/>
    <x v="34"/>
    <x v="0"/>
    <x v="0"/>
    <x v="0"/>
    <x v="0"/>
    <x v="10"/>
    <x v="0"/>
    <x v="0"/>
  </r>
  <r>
    <x v="566"/>
    <x v="101"/>
    <x v="467"/>
    <x v="191"/>
    <x v="559"/>
    <x v="1"/>
    <x v="4"/>
    <x v="5"/>
    <x v="2"/>
    <x v="6"/>
    <x v="24"/>
    <x v="0"/>
    <x v="0"/>
    <x v="0"/>
    <x v="0"/>
    <x v="20"/>
    <x v="0"/>
    <x v="0"/>
  </r>
  <r>
    <x v="567"/>
    <x v="102"/>
    <x v="314"/>
    <x v="100"/>
    <x v="560"/>
    <x v="3"/>
    <x v="2"/>
    <x v="0"/>
    <x v="0"/>
    <x v="2"/>
    <x v="16"/>
    <x v="0"/>
    <x v="0"/>
    <x v="0"/>
    <x v="0"/>
    <x v="16"/>
    <x v="0"/>
    <x v="0"/>
  </r>
  <r>
    <x v="568"/>
    <x v="102"/>
    <x v="314"/>
    <x v="165"/>
    <x v="561"/>
    <x v="2"/>
    <x v="4"/>
    <x v="3"/>
    <x v="0"/>
    <x v="6"/>
    <x v="16"/>
    <x v="0"/>
    <x v="0"/>
    <x v="0"/>
    <x v="0"/>
    <x v="16"/>
    <x v="0"/>
    <x v="0"/>
  </r>
  <r>
    <x v="569"/>
    <x v="102"/>
    <x v="468"/>
    <x v="18"/>
    <x v="562"/>
    <x v="1"/>
    <x v="2"/>
    <x v="5"/>
    <x v="0"/>
    <x v="4"/>
    <x v="1"/>
    <x v="0"/>
    <x v="0"/>
    <x v="0"/>
    <x v="0"/>
    <x v="1"/>
    <x v="0"/>
    <x v="0"/>
  </r>
  <r>
    <x v="570"/>
    <x v="102"/>
    <x v="469"/>
    <x v="66"/>
    <x v="563"/>
    <x v="2"/>
    <x v="0"/>
    <x v="5"/>
    <x v="2"/>
    <x v="2"/>
    <x v="16"/>
    <x v="0"/>
    <x v="0"/>
    <x v="0"/>
    <x v="0"/>
    <x v="18"/>
    <x v="0"/>
    <x v="0"/>
  </r>
  <r>
    <x v="571"/>
    <x v="102"/>
    <x v="470"/>
    <x v="170"/>
    <x v="564"/>
    <x v="3"/>
    <x v="1"/>
    <x v="8"/>
    <x v="0"/>
    <x v="1"/>
    <x v="28"/>
    <x v="0"/>
    <x v="0"/>
    <x v="0"/>
    <x v="0"/>
    <x v="11"/>
    <x v="0"/>
    <x v="0"/>
  </r>
  <r>
    <x v="572"/>
    <x v="103"/>
    <x v="471"/>
    <x v="154"/>
    <x v="565"/>
    <x v="3"/>
    <x v="2"/>
    <x v="1"/>
    <x v="0"/>
    <x v="1"/>
    <x v="38"/>
    <x v="0"/>
    <x v="0"/>
    <x v="0"/>
    <x v="0"/>
    <x v="23"/>
    <x v="0"/>
    <x v="0"/>
  </r>
  <r>
    <x v="573"/>
    <x v="103"/>
    <x v="34"/>
    <x v="69"/>
    <x v="566"/>
    <x v="2"/>
    <x v="0"/>
    <x v="1"/>
    <x v="0"/>
    <x v="3"/>
    <x v="32"/>
    <x v="0"/>
    <x v="0"/>
    <x v="0"/>
    <x v="0"/>
    <x v="6"/>
    <x v="0"/>
    <x v="0"/>
  </r>
  <r>
    <x v="574"/>
    <x v="103"/>
    <x v="263"/>
    <x v="180"/>
    <x v="567"/>
    <x v="3"/>
    <x v="2"/>
    <x v="6"/>
    <x v="0"/>
    <x v="4"/>
    <x v="27"/>
    <x v="0"/>
    <x v="0"/>
    <x v="0"/>
    <x v="0"/>
    <x v="16"/>
    <x v="0"/>
    <x v="0"/>
  </r>
  <r>
    <x v="575"/>
    <x v="103"/>
    <x v="472"/>
    <x v="148"/>
    <x v="568"/>
    <x v="3"/>
    <x v="4"/>
    <x v="6"/>
    <x v="0"/>
    <x v="0"/>
    <x v="29"/>
    <x v="0"/>
    <x v="0"/>
    <x v="0"/>
    <x v="0"/>
    <x v="9"/>
    <x v="0"/>
    <x v="1"/>
  </r>
  <r>
    <x v="576"/>
    <x v="103"/>
    <x v="473"/>
    <x v="48"/>
    <x v="569"/>
    <x v="3"/>
    <x v="0"/>
    <x v="5"/>
    <x v="0"/>
    <x v="4"/>
    <x v="22"/>
    <x v="0"/>
    <x v="0"/>
    <x v="0"/>
    <x v="0"/>
    <x v="13"/>
    <x v="0"/>
    <x v="0"/>
  </r>
  <r>
    <x v="577"/>
    <x v="103"/>
    <x v="474"/>
    <x v="180"/>
    <x v="570"/>
    <x v="0"/>
    <x v="3"/>
    <x v="8"/>
    <x v="0"/>
    <x v="1"/>
    <x v="41"/>
    <x v="0"/>
    <x v="0"/>
    <x v="0"/>
    <x v="0"/>
    <x v="20"/>
    <x v="0"/>
    <x v="0"/>
  </r>
  <r>
    <x v="578"/>
    <x v="104"/>
    <x v="475"/>
    <x v="114"/>
    <x v="571"/>
    <x v="2"/>
    <x v="4"/>
    <x v="5"/>
    <x v="1"/>
    <x v="0"/>
    <x v="40"/>
    <x v="0"/>
    <x v="0"/>
    <x v="0"/>
    <x v="0"/>
    <x v="6"/>
    <x v="0"/>
    <x v="0"/>
  </r>
  <r>
    <x v="579"/>
    <x v="104"/>
    <x v="476"/>
    <x v="108"/>
    <x v="572"/>
    <x v="3"/>
    <x v="4"/>
    <x v="6"/>
    <x v="2"/>
    <x v="4"/>
    <x v="44"/>
    <x v="0"/>
    <x v="0"/>
    <x v="0"/>
    <x v="0"/>
    <x v="13"/>
    <x v="0"/>
    <x v="0"/>
  </r>
  <r>
    <x v="580"/>
    <x v="104"/>
    <x v="477"/>
    <x v="20"/>
    <x v="573"/>
    <x v="3"/>
    <x v="4"/>
    <x v="0"/>
    <x v="0"/>
    <x v="4"/>
    <x v="13"/>
    <x v="0"/>
    <x v="0"/>
    <x v="0"/>
    <x v="0"/>
    <x v="20"/>
    <x v="0"/>
    <x v="0"/>
  </r>
  <r>
    <x v="581"/>
    <x v="104"/>
    <x v="134"/>
    <x v="135"/>
    <x v="574"/>
    <x v="3"/>
    <x v="2"/>
    <x v="0"/>
    <x v="2"/>
    <x v="0"/>
    <x v="28"/>
    <x v="0"/>
    <x v="0"/>
    <x v="0"/>
    <x v="0"/>
    <x v="0"/>
    <x v="0"/>
    <x v="0"/>
  </r>
  <r>
    <x v="582"/>
    <x v="104"/>
    <x v="478"/>
    <x v="21"/>
    <x v="575"/>
    <x v="2"/>
    <x v="4"/>
    <x v="3"/>
    <x v="0"/>
    <x v="1"/>
    <x v="47"/>
    <x v="0"/>
    <x v="0"/>
    <x v="0"/>
    <x v="0"/>
    <x v="22"/>
    <x v="0"/>
    <x v="0"/>
  </r>
  <r>
    <x v="583"/>
    <x v="105"/>
    <x v="479"/>
    <x v="45"/>
    <x v="576"/>
    <x v="2"/>
    <x v="3"/>
    <x v="4"/>
    <x v="0"/>
    <x v="4"/>
    <x v="10"/>
    <x v="0"/>
    <x v="0"/>
    <x v="0"/>
    <x v="0"/>
    <x v="1"/>
    <x v="0"/>
    <x v="0"/>
  </r>
  <r>
    <x v="584"/>
    <x v="105"/>
    <x v="480"/>
    <x v="74"/>
    <x v="577"/>
    <x v="3"/>
    <x v="0"/>
    <x v="1"/>
    <x v="0"/>
    <x v="0"/>
    <x v="16"/>
    <x v="0"/>
    <x v="0"/>
    <x v="0"/>
    <x v="0"/>
    <x v="6"/>
    <x v="0"/>
    <x v="0"/>
  </r>
  <r>
    <x v="585"/>
    <x v="105"/>
    <x v="481"/>
    <x v="29"/>
    <x v="578"/>
    <x v="3"/>
    <x v="1"/>
    <x v="8"/>
    <x v="2"/>
    <x v="5"/>
    <x v="40"/>
    <x v="0"/>
    <x v="0"/>
    <x v="0"/>
    <x v="0"/>
    <x v="2"/>
    <x v="0"/>
    <x v="0"/>
  </r>
  <r>
    <x v="586"/>
    <x v="105"/>
    <x v="482"/>
    <x v="68"/>
    <x v="579"/>
    <x v="3"/>
    <x v="2"/>
    <x v="2"/>
    <x v="2"/>
    <x v="5"/>
    <x v="14"/>
    <x v="0"/>
    <x v="0"/>
    <x v="0"/>
    <x v="0"/>
    <x v="18"/>
    <x v="0"/>
    <x v="0"/>
  </r>
  <r>
    <x v="587"/>
    <x v="105"/>
    <x v="483"/>
    <x v="102"/>
    <x v="580"/>
    <x v="2"/>
    <x v="0"/>
    <x v="1"/>
    <x v="0"/>
    <x v="1"/>
    <x v="31"/>
    <x v="0"/>
    <x v="0"/>
    <x v="0"/>
    <x v="0"/>
    <x v="5"/>
    <x v="0"/>
    <x v="0"/>
  </r>
  <r>
    <x v="588"/>
    <x v="105"/>
    <x v="484"/>
    <x v="192"/>
    <x v="581"/>
    <x v="2"/>
    <x v="2"/>
    <x v="2"/>
    <x v="1"/>
    <x v="0"/>
    <x v="40"/>
    <x v="0"/>
    <x v="1"/>
    <x v="0"/>
    <x v="0"/>
    <x v="19"/>
    <x v="0"/>
    <x v="0"/>
  </r>
  <r>
    <x v="589"/>
    <x v="106"/>
    <x v="485"/>
    <x v="44"/>
    <x v="582"/>
    <x v="3"/>
    <x v="2"/>
    <x v="4"/>
    <x v="0"/>
    <x v="5"/>
    <x v="20"/>
    <x v="1"/>
    <x v="1"/>
    <x v="0"/>
    <x v="0"/>
    <x v="10"/>
    <x v="0"/>
    <x v="0"/>
  </r>
  <r>
    <x v="590"/>
    <x v="106"/>
    <x v="486"/>
    <x v="38"/>
    <x v="583"/>
    <x v="3"/>
    <x v="0"/>
    <x v="4"/>
    <x v="2"/>
    <x v="0"/>
    <x v="8"/>
    <x v="0"/>
    <x v="0"/>
    <x v="0"/>
    <x v="0"/>
    <x v="13"/>
    <x v="0"/>
    <x v="1"/>
  </r>
  <r>
    <x v="591"/>
    <x v="106"/>
    <x v="487"/>
    <x v="183"/>
    <x v="584"/>
    <x v="3"/>
    <x v="2"/>
    <x v="5"/>
    <x v="1"/>
    <x v="4"/>
    <x v="21"/>
    <x v="0"/>
    <x v="0"/>
    <x v="0"/>
    <x v="0"/>
    <x v="1"/>
    <x v="0"/>
    <x v="0"/>
  </r>
  <r>
    <x v="592"/>
    <x v="106"/>
    <x v="488"/>
    <x v="51"/>
    <x v="585"/>
    <x v="0"/>
    <x v="3"/>
    <x v="6"/>
    <x v="0"/>
    <x v="1"/>
    <x v="4"/>
    <x v="0"/>
    <x v="0"/>
    <x v="0"/>
    <x v="0"/>
    <x v="5"/>
    <x v="0"/>
    <x v="0"/>
  </r>
  <r>
    <x v="593"/>
    <x v="106"/>
    <x v="489"/>
    <x v="31"/>
    <x v="586"/>
    <x v="3"/>
    <x v="1"/>
    <x v="4"/>
    <x v="2"/>
    <x v="5"/>
    <x v="21"/>
    <x v="3"/>
    <x v="1"/>
    <x v="0"/>
    <x v="0"/>
    <x v="9"/>
    <x v="0"/>
    <x v="0"/>
  </r>
  <r>
    <x v="594"/>
    <x v="107"/>
    <x v="86"/>
    <x v="18"/>
    <x v="587"/>
    <x v="2"/>
    <x v="0"/>
    <x v="4"/>
    <x v="0"/>
    <x v="6"/>
    <x v="1"/>
    <x v="0"/>
    <x v="0"/>
    <x v="0"/>
    <x v="0"/>
    <x v="5"/>
    <x v="0"/>
    <x v="0"/>
  </r>
  <r>
    <x v="595"/>
    <x v="107"/>
    <x v="237"/>
    <x v="78"/>
    <x v="588"/>
    <x v="2"/>
    <x v="0"/>
    <x v="2"/>
    <x v="0"/>
    <x v="4"/>
    <x v="42"/>
    <x v="0"/>
    <x v="0"/>
    <x v="0"/>
    <x v="0"/>
    <x v="7"/>
    <x v="0"/>
    <x v="0"/>
  </r>
  <r>
    <x v="596"/>
    <x v="107"/>
    <x v="490"/>
    <x v="145"/>
    <x v="589"/>
    <x v="3"/>
    <x v="1"/>
    <x v="6"/>
    <x v="0"/>
    <x v="6"/>
    <x v="21"/>
    <x v="0"/>
    <x v="0"/>
    <x v="0"/>
    <x v="0"/>
    <x v="18"/>
    <x v="0"/>
    <x v="0"/>
  </r>
  <r>
    <x v="597"/>
    <x v="107"/>
    <x v="491"/>
    <x v="55"/>
    <x v="590"/>
    <x v="3"/>
    <x v="4"/>
    <x v="4"/>
    <x v="0"/>
    <x v="6"/>
    <x v="42"/>
    <x v="0"/>
    <x v="0"/>
    <x v="0"/>
    <x v="0"/>
    <x v="0"/>
    <x v="0"/>
    <x v="0"/>
  </r>
  <r>
    <x v="598"/>
    <x v="107"/>
    <x v="492"/>
    <x v="136"/>
    <x v="215"/>
    <x v="3"/>
    <x v="0"/>
    <x v="1"/>
    <x v="1"/>
    <x v="2"/>
    <x v="33"/>
    <x v="0"/>
    <x v="0"/>
    <x v="0"/>
    <x v="0"/>
    <x v="23"/>
    <x v="0"/>
    <x v="0"/>
  </r>
  <r>
    <x v="599"/>
    <x v="107"/>
    <x v="493"/>
    <x v="173"/>
    <x v="591"/>
    <x v="2"/>
    <x v="2"/>
    <x v="3"/>
    <x v="0"/>
    <x v="2"/>
    <x v="41"/>
    <x v="2"/>
    <x v="0"/>
    <x v="0"/>
    <x v="0"/>
    <x v="5"/>
    <x v="0"/>
    <x v="0"/>
  </r>
  <r>
    <x v="600"/>
    <x v="108"/>
    <x v="175"/>
    <x v="27"/>
    <x v="592"/>
    <x v="2"/>
    <x v="0"/>
    <x v="4"/>
    <x v="0"/>
    <x v="1"/>
    <x v="16"/>
    <x v="0"/>
    <x v="0"/>
    <x v="0"/>
    <x v="0"/>
    <x v="17"/>
    <x v="0"/>
    <x v="0"/>
  </r>
  <r>
    <x v="601"/>
    <x v="108"/>
    <x v="494"/>
    <x v="155"/>
    <x v="593"/>
    <x v="2"/>
    <x v="0"/>
    <x v="3"/>
    <x v="2"/>
    <x v="5"/>
    <x v="42"/>
    <x v="0"/>
    <x v="0"/>
    <x v="0"/>
    <x v="0"/>
    <x v="0"/>
    <x v="0"/>
    <x v="0"/>
  </r>
  <r>
    <x v="602"/>
    <x v="108"/>
    <x v="495"/>
    <x v="85"/>
    <x v="594"/>
    <x v="1"/>
    <x v="3"/>
    <x v="6"/>
    <x v="1"/>
    <x v="5"/>
    <x v="47"/>
    <x v="0"/>
    <x v="0"/>
    <x v="0"/>
    <x v="0"/>
    <x v="22"/>
    <x v="0"/>
    <x v="0"/>
  </r>
  <r>
    <x v="603"/>
    <x v="108"/>
    <x v="496"/>
    <x v="143"/>
    <x v="595"/>
    <x v="3"/>
    <x v="2"/>
    <x v="5"/>
    <x v="0"/>
    <x v="5"/>
    <x v="37"/>
    <x v="3"/>
    <x v="1"/>
    <x v="0"/>
    <x v="0"/>
    <x v="19"/>
    <x v="0"/>
    <x v="0"/>
  </r>
  <r>
    <x v="604"/>
    <x v="108"/>
    <x v="102"/>
    <x v="42"/>
    <x v="596"/>
    <x v="0"/>
    <x v="0"/>
    <x v="8"/>
    <x v="1"/>
    <x v="0"/>
    <x v="6"/>
    <x v="3"/>
    <x v="1"/>
    <x v="0"/>
    <x v="0"/>
    <x v="10"/>
    <x v="0"/>
    <x v="0"/>
  </r>
  <r>
    <x v="605"/>
    <x v="109"/>
    <x v="497"/>
    <x v="61"/>
    <x v="597"/>
    <x v="2"/>
    <x v="1"/>
    <x v="6"/>
    <x v="0"/>
    <x v="4"/>
    <x v="2"/>
    <x v="0"/>
    <x v="0"/>
    <x v="0"/>
    <x v="0"/>
    <x v="7"/>
    <x v="0"/>
    <x v="0"/>
  </r>
  <r>
    <x v="606"/>
    <x v="109"/>
    <x v="205"/>
    <x v="159"/>
    <x v="598"/>
    <x v="3"/>
    <x v="0"/>
    <x v="2"/>
    <x v="2"/>
    <x v="5"/>
    <x v="31"/>
    <x v="0"/>
    <x v="0"/>
    <x v="0"/>
    <x v="0"/>
    <x v="3"/>
    <x v="0"/>
    <x v="0"/>
  </r>
  <r>
    <x v="607"/>
    <x v="109"/>
    <x v="498"/>
    <x v="107"/>
    <x v="599"/>
    <x v="0"/>
    <x v="1"/>
    <x v="8"/>
    <x v="0"/>
    <x v="4"/>
    <x v="10"/>
    <x v="0"/>
    <x v="0"/>
    <x v="0"/>
    <x v="0"/>
    <x v="3"/>
    <x v="0"/>
    <x v="0"/>
  </r>
  <r>
    <x v="608"/>
    <x v="109"/>
    <x v="499"/>
    <x v="73"/>
    <x v="600"/>
    <x v="2"/>
    <x v="2"/>
    <x v="1"/>
    <x v="0"/>
    <x v="1"/>
    <x v="14"/>
    <x v="0"/>
    <x v="0"/>
    <x v="0"/>
    <x v="0"/>
    <x v="21"/>
    <x v="0"/>
    <x v="1"/>
  </r>
  <r>
    <x v="609"/>
    <x v="109"/>
    <x v="500"/>
    <x v="32"/>
    <x v="601"/>
    <x v="2"/>
    <x v="0"/>
    <x v="0"/>
    <x v="0"/>
    <x v="6"/>
    <x v="41"/>
    <x v="0"/>
    <x v="0"/>
    <x v="0"/>
    <x v="0"/>
    <x v="2"/>
    <x v="0"/>
    <x v="0"/>
  </r>
  <r>
    <x v="610"/>
    <x v="109"/>
    <x v="501"/>
    <x v="93"/>
    <x v="602"/>
    <x v="2"/>
    <x v="0"/>
    <x v="3"/>
    <x v="0"/>
    <x v="5"/>
    <x v="26"/>
    <x v="0"/>
    <x v="0"/>
    <x v="0"/>
    <x v="0"/>
    <x v="13"/>
    <x v="0"/>
    <x v="0"/>
  </r>
  <r>
    <x v="611"/>
    <x v="110"/>
    <x v="228"/>
    <x v="53"/>
    <x v="603"/>
    <x v="4"/>
    <x v="1"/>
    <x v="7"/>
    <x v="0"/>
    <x v="1"/>
    <x v="33"/>
    <x v="0"/>
    <x v="0"/>
    <x v="0"/>
    <x v="1"/>
    <x v="20"/>
    <x v="0"/>
    <x v="0"/>
  </r>
  <r>
    <x v="612"/>
    <x v="110"/>
    <x v="502"/>
    <x v="5"/>
    <x v="604"/>
    <x v="2"/>
    <x v="4"/>
    <x v="3"/>
    <x v="0"/>
    <x v="5"/>
    <x v="36"/>
    <x v="0"/>
    <x v="0"/>
    <x v="0"/>
    <x v="0"/>
    <x v="17"/>
    <x v="0"/>
    <x v="0"/>
  </r>
  <r>
    <x v="613"/>
    <x v="110"/>
    <x v="503"/>
    <x v="28"/>
    <x v="605"/>
    <x v="3"/>
    <x v="4"/>
    <x v="6"/>
    <x v="0"/>
    <x v="2"/>
    <x v="32"/>
    <x v="0"/>
    <x v="0"/>
    <x v="0"/>
    <x v="0"/>
    <x v="13"/>
    <x v="0"/>
    <x v="0"/>
  </r>
  <r>
    <x v="614"/>
    <x v="110"/>
    <x v="504"/>
    <x v="175"/>
    <x v="606"/>
    <x v="3"/>
    <x v="0"/>
    <x v="3"/>
    <x v="2"/>
    <x v="3"/>
    <x v="30"/>
    <x v="0"/>
    <x v="0"/>
    <x v="0"/>
    <x v="0"/>
    <x v="16"/>
    <x v="0"/>
    <x v="0"/>
  </r>
  <r>
    <x v="615"/>
    <x v="110"/>
    <x v="505"/>
    <x v="156"/>
    <x v="607"/>
    <x v="0"/>
    <x v="3"/>
    <x v="5"/>
    <x v="0"/>
    <x v="1"/>
    <x v="23"/>
    <x v="0"/>
    <x v="0"/>
    <x v="0"/>
    <x v="0"/>
    <x v="14"/>
    <x v="0"/>
    <x v="0"/>
  </r>
  <r>
    <x v="616"/>
    <x v="110"/>
    <x v="506"/>
    <x v="122"/>
    <x v="608"/>
    <x v="3"/>
    <x v="1"/>
    <x v="3"/>
    <x v="0"/>
    <x v="5"/>
    <x v="17"/>
    <x v="0"/>
    <x v="0"/>
    <x v="0"/>
    <x v="0"/>
    <x v="0"/>
    <x v="0"/>
    <x v="0"/>
  </r>
  <r>
    <x v="617"/>
    <x v="111"/>
    <x v="507"/>
    <x v="15"/>
    <x v="609"/>
    <x v="3"/>
    <x v="1"/>
    <x v="2"/>
    <x v="0"/>
    <x v="3"/>
    <x v="36"/>
    <x v="0"/>
    <x v="0"/>
    <x v="0"/>
    <x v="0"/>
    <x v="22"/>
    <x v="0"/>
    <x v="0"/>
  </r>
  <r>
    <x v="618"/>
    <x v="111"/>
    <x v="508"/>
    <x v="128"/>
    <x v="610"/>
    <x v="1"/>
    <x v="3"/>
    <x v="1"/>
    <x v="0"/>
    <x v="1"/>
    <x v="29"/>
    <x v="0"/>
    <x v="0"/>
    <x v="0"/>
    <x v="0"/>
    <x v="23"/>
    <x v="0"/>
    <x v="0"/>
  </r>
  <r>
    <x v="619"/>
    <x v="111"/>
    <x v="77"/>
    <x v="191"/>
    <x v="611"/>
    <x v="1"/>
    <x v="4"/>
    <x v="3"/>
    <x v="2"/>
    <x v="0"/>
    <x v="39"/>
    <x v="0"/>
    <x v="0"/>
    <x v="0"/>
    <x v="0"/>
    <x v="4"/>
    <x v="0"/>
    <x v="0"/>
  </r>
  <r>
    <x v="620"/>
    <x v="111"/>
    <x v="509"/>
    <x v="66"/>
    <x v="612"/>
    <x v="2"/>
    <x v="4"/>
    <x v="3"/>
    <x v="2"/>
    <x v="5"/>
    <x v="17"/>
    <x v="0"/>
    <x v="0"/>
    <x v="0"/>
    <x v="0"/>
    <x v="17"/>
    <x v="0"/>
    <x v="0"/>
  </r>
  <r>
    <x v="621"/>
    <x v="111"/>
    <x v="449"/>
    <x v="148"/>
    <x v="613"/>
    <x v="0"/>
    <x v="2"/>
    <x v="8"/>
    <x v="0"/>
    <x v="0"/>
    <x v="47"/>
    <x v="2"/>
    <x v="0"/>
    <x v="0"/>
    <x v="0"/>
    <x v="20"/>
    <x v="0"/>
    <x v="0"/>
  </r>
  <r>
    <x v="622"/>
    <x v="112"/>
    <x v="510"/>
    <x v="19"/>
    <x v="215"/>
    <x v="3"/>
    <x v="1"/>
    <x v="1"/>
    <x v="0"/>
    <x v="2"/>
    <x v="9"/>
    <x v="2"/>
    <x v="0"/>
    <x v="0"/>
    <x v="0"/>
    <x v="21"/>
    <x v="0"/>
    <x v="0"/>
  </r>
  <r>
    <x v="623"/>
    <x v="112"/>
    <x v="193"/>
    <x v="112"/>
    <x v="614"/>
    <x v="3"/>
    <x v="3"/>
    <x v="3"/>
    <x v="2"/>
    <x v="5"/>
    <x v="46"/>
    <x v="3"/>
    <x v="1"/>
    <x v="0"/>
    <x v="0"/>
    <x v="12"/>
    <x v="0"/>
    <x v="0"/>
  </r>
  <r>
    <x v="624"/>
    <x v="112"/>
    <x v="172"/>
    <x v="110"/>
    <x v="615"/>
    <x v="3"/>
    <x v="0"/>
    <x v="6"/>
    <x v="0"/>
    <x v="6"/>
    <x v="34"/>
    <x v="0"/>
    <x v="0"/>
    <x v="0"/>
    <x v="0"/>
    <x v="19"/>
    <x v="0"/>
    <x v="0"/>
  </r>
  <r>
    <x v="625"/>
    <x v="112"/>
    <x v="188"/>
    <x v="96"/>
    <x v="616"/>
    <x v="4"/>
    <x v="2"/>
    <x v="4"/>
    <x v="2"/>
    <x v="2"/>
    <x v="42"/>
    <x v="0"/>
    <x v="0"/>
    <x v="0"/>
    <x v="0"/>
    <x v="19"/>
    <x v="0"/>
    <x v="0"/>
  </r>
  <r>
    <x v="626"/>
    <x v="112"/>
    <x v="359"/>
    <x v="12"/>
    <x v="617"/>
    <x v="2"/>
    <x v="1"/>
    <x v="5"/>
    <x v="0"/>
    <x v="3"/>
    <x v="35"/>
    <x v="0"/>
    <x v="0"/>
    <x v="0"/>
    <x v="0"/>
    <x v="14"/>
    <x v="0"/>
    <x v="0"/>
  </r>
  <r>
    <x v="627"/>
    <x v="112"/>
    <x v="222"/>
    <x v="129"/>
    <x v="618"/>
    <x v="3"/>
    <x v="2"/>
    <x v="6"/>
    <x v="2"/>
    <x v="1"/>
    <x v="32"/>
    <x v="0"/>
    <x v="0"/>
    <x v="0"/>
    <x v="0"/>
    <x v="6"/>
    <x v="0"/>
    <x v="0"/>
  </r>
  <r>
    <x v="628"/>
    <x v="113"/>
    <x v="511"/>
    <x v="182"/>
    <x v="619"/>
    <x v="4"/>
    <x v="0"/>
    <x v="0"/>
    <x v="0"/>
    <x v="4"/>
    <x v="17"/>
    <x v="0"/>
    <x v="0"/>
    <x v="0"/>
    <x v="0"/>
    <x v="4"/>
    <x v="0"/>
    <x v="1"/>
  </r>
  <r>
    <x v="629"/>
    <x v="113"/>
    <x v="512"/>
    <x v="137"/>
    <x v="620"/>
    <x v="4"/>
    <x v="0"/>
    <x v="6"/>
    <x v="0"/>
    <x v="2"/>
    <x v="43"/>
    <x v="0"/>
    <x v="0"/>
    <x v="0"/>
    <x v="0"/>
    <x v="18"/>
    <x v="0"/>
    <x v="0"/>
  </r>
  <r>
    <x v="630"/>
    <x v="113"/>
    <x v="513"/>
    <x v="17"/>
    <x v="621"/>
    <x v="4"/>
    <x v="4"/>
    <x v="8"/>
    <x v="1"/>
    <x v="4"/>
    <x v="37"/>
    <x v="0"/>
    <x v="0"/>
    <x v="0"/>
    <x v="0"/>
    <x v="23"/>
    <x v="0"/>
    <x v="0"/>
  </r>
  <r>
    <x v="631"/>
    <x v="113"/>
    <x v="514"/>
    <x v="40"/>
    <x v="622"/>
    <x v="4"/>
    <x v="0"/>
    <x v="8"/>
    <x v="0"/>
    <x v="4"/>
    <x v="24"/>
    <x v="0"/>
    <x v="0"/>
    <x v="0"/>
    <x v="0"/>
    <x v="15"/>
    <x v="0"/>
    <x v="0"/>
  </r>
  <r>
    <x v="632"/>
    <x v="113"/>
    <x v="515"/>
    <x v="185"/>
    <x v="623"/>
    <x v="3"/>
    <x v="1"/>
    <x v="3"/>
    <x v="0"/>
    <x v="1"/>
    <x v="8"/>
    <x v="0"/>
    <x v="0"/>
    <x v="0"/>
    <x v="0"/>
    <x v="11"/>
    <x v="0"/>
    <x v="0"/>
  </r>
  <r>
    <x v="633"/>
    <x v="114"/>
    <x v="516"/>
    <x v="178"/>
    <x v="624"/>
    <x v="2"/>
    <x v="0"/>
    <x v="6"/>
    <x v="0"/>
    <x v="3"/>
    <x v="43"/>
    <x v="0"/>
    <x v="0"/>
    <x v="0"/>
    <x v="0"/>
    <x v="1"/>
    <x v="0"/>
    <x v="0"/>
  </r>
  <r>
    <x v="634"/>
    <x v="114"/>
    <x v="517"/>
    <x v="163"/>
    <x v="625"/>
    <x v="1"/>
    <x v="0"/>
    <x v="8"/>
    <x v="0"/>
    <x v="1"/>
    <x v="20"/>
    <x v="0"/>
    <x v="0"/>
    <x v="0"/>
    <x v="0"/>
    <x v="16"/>
    <x v="0"/>
    <x v="0"/>
  </r>
  <r>
    <x v="635"/>
    <x v="114"/>
    <x v="518"/>
    <x v="175"/>
    <x v="626"/>
    <x v="4"/>
    <x v="0"/>
    <x v="4"/>
    <x v="0"/>
    <x v="5"/>
    <x v="10"/>
    <x v="0"/>
    <x v="0"/>
    <x v="0"/>
    <x v="0"/>
    <x v="0"/>
    <x v="0"/>
    <x v="0"/>
  </r>
  <r>
    <x v="636"/>
    <x v="114"/>
    <x v="149"/>
    <x v="27"/>
    <x v="627"/>
    <x v="2"/>
    <x v="0"/>
    <x v="1"/>
    <x v="0"/>
    <x v="2"/>
    <x v="16"/>
    <x v="0"/>
    <x v="0"/>
    <x v="0"/>
    <x v="0"/>
    <x v="23"/>
    <x v="0"/>
    <x v="0"/>
  </r>
  <r>
    <x v="637"/>
    <x v="114"/>
    <x v="519"/>
    <x v="38"/>
    <x v="628"/>
    <x v="2"/>
    <x v="3"/>
    <x v="6"/>
    <x v="0"/>
    <x v="4"/>
    <x v="31"/>
    <x v="2"/>
    <x v="0"/>
    <x v="0"/>
    <x v="0"/>
    <x v="9"/>
    <x v="0"/>
    <x v="0"/>
  </r>
  <r>
    <x v="638"/>
    <x v="114"/>
    <x v="63"/>
    <x v="52"/>
    <x v="629"/>
    <x v="2"/>
    <x v="0"/>
    <x v="5"/>
    <x v="0"/>
    <x v="1"/>
    <x v="34"/>
    <x v="0"/>
    <x v="0"/>
    <x v="0"/>
    <x v="0"/>
    <x v="9"/>
    <x v="0"/>
    <x v="0"/>
  </r>
  <r>
    <x v="639"/>
    <x v="115"/>
    <x v="520"/>
    <x v="92"/>
    <x v="630"/>
    <x v="3"/>
    <x v="4"/>
    <x v="4"/>
    <x v="2"/>
    <x v="1"/>
    <x v="38"/>
    <x v="0"/>
    <x v="0"/>
    <x v="0"/>
    <x v="0"/>
    <x v="14"/>
    <x v="0"/>
    <x v="0"/>
  </r>
  <r>
    <x v="640"/>
    <x v="115"/>
    <x v="40"/>
    <x v="192"/>
    <x v="631"/>
    <x v="1"/>
    <x v="2"/>
    <x v="3"/>
    <x v="0"/>
    <x v="1"/>
    <x v="8"/>
    <x v="0"/>
    <x v="0"/>
    <x v="0"/>
    <x v="0"/>
    <x v="6"/>
    <x v="0"/>
    <x v="0"/>
  </r>
  <r>
    <x v="641"/>
    <x v="115"/>
    <x v="521"/>
    <x v="143"/>
    <x v="632"/>
    <x v="0"/>
    <x v="1"/>
    <x v="1"/>
    <x v="0"/>
    <x v="2"/>
    <x v="25"/>
    <x v="0"/>
    <x v="0"/>
    <x v="0"/>
    <x v="0"/>
    <x v="13"/>
    <x v="0"/>
    <x v="0"/>
  </r>
  <r>
    <x v="642"/>
    <x v="115"/>
    <x v="324"/>
    <x v="87"/>
    <x v="633"/>
    <x v="0"/>
    <x v="2"/>
    <x v="5"/>
    <x v="0"/>
    <x v="3"/>
    <x v="21"/>
    <x v="0"/>
    <x v="0"/>
    <x v="0"/>
    <x v="0"/>
    <x v="11"/>
    <x v="0"/>
    <x v="0"/>
  </r>
  <r>
    <x v="643"/>
    <x v="115"/>
    <x v="522"/>
    <x v="53"/>
    <x v="634"/>
    <x v="3"/>
    <x v="1"/>
    <x v="3"/>
    <x v="0"/>
    <x v="6"/>
    <x v="7"/>
    <x v="0"/>
    <x v="0"/>
    <x v="0"/>
    <x v="0"/>
    <x v="0"/>
    <x v="0"/>
    <x v="0"/>
  </r>
  <r>
    <x v="644"/>
    <x v="116"/>
    <x v="523"/>
    <x v="89"/>
    <x v="635"/>
    <x v="3"/>
    <x v="3"/>
    <x v="5"/>
    <x v="0"/>
    <x v="1"/>
    <x v="16"/>
    <x v="0"/>
    <x v="0"/>
    <x v="0"/>
    <x v="0"/>
    <x v="17"/>
    <x v="0"/>
    <x v="0"/>
  </r>
  <r>
    <x v="645"/>
    <x v="116"/>
    <x v="524"/>
    <x v="133"/>
    <x v="636"/>
    <x v="3"/>
    <x v="0"/>
    <x v="3"/>
    <x v="0"/>
    <x v="2"/>
    <x v="2"/>
    <x v="0"/>
    <x v="0"/>
    <x v="0"/>
    <x v="0"/>
    <x v="6"/>
    <x v="0"/>
    <x v="0"/>
  </r>
  <r>
    <x v="646"/>
    <x v="116"/>
    <x v="410"/>
    <x v="184"/>
    <x v="637"/>
    <x v="2"/>
    <x v="1"/>
    <x v="5"/>
    <x v="0"/>
    <x v="4"/>
    <x v="44"/>
    <x v="0"/>
    <x v="0"/>
    <x v="0"/>
    <x v="0"/>
    <x v="0"/>
    <x v="0"/>
    <x v="0"/>
  </r>
  <r>
    <x v="647"/>
    <x v="116"/>
    <x v="220"/>
    <x v="174"/>
    <x v="638"/>
    <x v="4"/>
    <x v="4"/>
    <x v="1"/>
    <x v="0"/>
    <x v="5"/>
    <x v="40"/>
    <x v="0"/>
    <x v="0"/>
    <x v="0"/>
    <x v="0"/>
    <x v="10"/>
    <x v="0"/>
    <x v="0"/>
  </r>
  <r>
    <x v="648"/>
    <x v="116"/>
    <x v="525"/>
    <x v="155"/>
    <x v="639"/>
    <x v="3"/>
    <x v="4"/>
    <x v="4"/>
    <x v="0"/>
    <x v="6"/>
    <x v="6"/>
    <x v="0"/>
    <x v="0"/>
    <x v="0"/>
    <x v="0"/>
    <x v="23"/>
    <x v="0"/>
    <x v="0"/>
  </r>
  <r>
    <x v="649"/>
    <x v="116"/>
    <x v="526"/>
    <x v="140"/>
    <x v="640"/>
    <x v="1"/>
    <x v="4"/>
    <x v="5"/>
    <x v="0"/>
    <x v="0"/>
    <x v="28"/>
    <x v="0"/>
    <x v="0"/>
    <x v="0"/>
    <x v="0"/>
    <x v="23"/>
    <x v="0"/>
    <x v="0"/>
  </r>
  <r>
    <x v="650"/>
    <x v="117"/>
    <x v="236"/>
    <x v="110"/>
    <x v="641"/>
    <x v="4"/>
    <x v="1"/>
    <x v="5"/>
    <x v="0"/>
    <x v="6"/>
    <x v="46"/>
    <x v="0"/>
    <x v="0"/>
    <x v="0"/>
    <x v="0"/>
    <x v="21"/>
    <x v="0"/>
    <x v="0"/>
  </r>
  <r>
    <x v="651"/>
    <x v="117"/>
    <x v="516"/>
    <x v="166"/>
    <x v="90"/>
    <x v="2"/>
    <x v="3"/>
    <x v="2"/>
    <x v="0"/>
    <x v="6"/>
    <x v="8"/>
    <x v="0"/>
    <x v="0"/>
    <x v="0"/>
    <x v="0"/>
    <x v="1"/>
    <x v="0"/>
    <x v="0"/>
  </r>
  <r>
    <x v="652"/>
    <x v="117"/>
    <x v="527"/>
    <x v="113"/>
    <x v="642"/>
    <x v="1"/>
    <x v="1"/>
    <x v="6"/>
    <x v="0"/>
    <x v="2"/>
    <x v="8"/>
    <x v="0"/>
    <x v="0"/>
    <x v="0"/>
    <x v="0"/>
    <x v="4"/>
    <x v="0"/>
    <x v="0"/>
  </r>
  <r>
    <x v="653"/>
    <x v="117"/>
    <x v="528"/>
    <x v="29"/>
    <x v="643"/>
    <x v="2"/>
    <x v="1"/>
    <x v="1"/>
    <x v="0"/>
    <x v="0"/>
    <x v="37"/>
    <x v="0"/>
    <x v="0"/>
    <x v="0"/>
    <x v="0"/>
    <x v="20"/>
    <x v="0"/>
    <x v="0"/>
  </r>
  <r>
    <x v="654"/>
    <x v="117"/>
    <x v="529"/>
    <x v="105"/>
    <x v="644"/>
    <x v="1"/>
    <x v="0"/>
    <x v="3"/>
    <x v="2"/>
    <x v="1"/>
    <x v="8"/>
    <x v="0"/>
    <x v="0"/>
    <x v="0"/>
    <x v="0"/>
    <x v="0"/>
    <x v="0"/>
    <x v="0"/>
  </r>
  <r>
    <x v="655"/>
    <x v="118"/>
    <x v="530"/>
    <x v="13"/>
    <x v="645"/>
    <x v="3"/>
    <x v="2"/>
    <x v="1"/>
    <x v="0"/>
    <x v="1"/>
    <x v="26"/>
    <x v="1"/>
    <x v="1"/>
    <x v="0"/>
    <x v="0"/>
    <x v="15"/>
    <x v="0"/>
    <x v="0"/>
  </r>
  <r>
    <x v="656"/>
    <x v="118"/>
    <x v="531"/>
    <x v="193"/>
    <x v="646"/>
    <x v="1"/>
    <x v="0"/>
    <x v="8"/>
    <x v="0"/>
    <x v="6"/>
    <x v="21"/>
    <x v="0"/>
    <x v="0"/>
    <x v="0"/>
    <x v="0"/>
    <x v="10"/>
    <x v="0"/>
    <x v="0"/>
  </r>
  <r>
    <x v="657"/>
    <x v="118"/>
    <x v="438"/>
    <x v="30"/>
    <x v="647"/>
    <x v="2"/>
    <x v="0"/>
    <x v="3"/>
    <x v="0"/>
    <x v="2"/>
    <x v="32"/>
    <x v="0"/>
    <x v="0"/>
    <x v="0"/>
    <x v="0"/>
    <x v="23"/>
    <x v="0"/>
    <x v="0"/>
  </r>
  <r>
    <x v="658"/>
    <x v="118"/>
    <x v="532"/>
    <x v="139"/>
    <x v="648"/>
    <x v="4"/>
    <x v="3"/>
    <x v="1"/>
    <x v="0"/>
    <x v="0"/>
    <x v="26"/>
    <x v="0"/>
    <x v="0"/>
    <x v="0"/>
    <x v="0"/>
    <x v="16"/>
    <x v="0"/>
    <x v="1"/>
  </r>
  <r>
    <x v="659"/>
    <x v="118"/>
    <x v="533"/>
    <x v="133"/>
    <x v="649"/>
    <x v="2"/>
    <x v="0"/>
    <x v="4"/>
    <x v="0"/>
    <x v="1"/>
    <x v="44"/>
    <x v="0"/>
    <x v="1"/>
    <x v="0"/>
    <x v="0"/>
    <x v="8"/>
    <x v="0"/>
    <x v="0"/>
  </r>
  <r>
    <x v="660"/>
    <x v="118"/>
    <x v="229"/>
    <x v="99"/>
    <x v="650"/>
    <x v="2"/>
    <x v="0"/>
    <x v="3"/>
    <x v="0"/>
    <x v="4"/>
    <x v="35"/>
    <x v="0"/>
    <x v="0"/>
    <x v="0"/>
    <x v="0"/>
    <x v="15"/>
    <x v="0"/>
    <x v="1"/>
  </r>
  <r>
    <x v="661"/>
    <x v="119"/>
    <x v="534"/>
    <x v="69"/>
    <x v="651"/>
    <x v="3"/>
    <x v="0"/>
    <x v="3"/>
    <x v="2"/>
    <x v="3"/>
    <x v="19"/>
    <x v="2"/>
    <x v="0"/>
    <x v="0"/>
    <x v="0"/>
    <x v="14"/>
    <x v="0"/>
    <x v="0"/>
  </r>
  <r>
    <x v="662"/>
    <x v="119"/>
    <x v="483"/>
    <x v="172"/>
    <x v="652"/>
    <x v="1"/>
    <x v="4"/>
    <x v="1"/>
    <x v="0"/>
    <x v="3"/>
    <x v="8"/>
    <x v="0"/>
    <x v="0"/>
    <x v="0"/>
    <x v="0"/>
    <x v="5"/>
    <x v="0"/>
    <x v="0"/>
  </r>
  <r>
    <x v="663"/>
    <x v="119"/>
    <x v="535"/>
    <x v="40"/>
    <x v="653"/>
    <x v="3"/>
    <x v="1"/>
    <x v="3"/>
    <x v="1"/>
    <x v="1"/>
    <x v="13"/>
    <x v="0"/>
    <x v="0"/>
    <x v="0"/>
    <x v="0"/>
    <x v="14"/>
    <x v="0"/>
    <x v="0"/>
  </r>
  <r>
    <x v="664"/>
    <x v="119"/>
    <x v="536"/>
    <x v="27"/>
    <x v="654"/>
    <x v="3"/>
    <x v="1"/>
    <x v="2"/>
    <x v="0"/>
    <x v="0"/>
    <x v="36"/>
    <x v="0"/>
    <x v="0"/>
    <x v="0"/>
    <x v="0"/>
    <x v="13"/>
    <x v="0"/>
    <x v="0"/>
  </r>
  <r>
    <x v="665"/>
    <x v="119"/>
    <x v="537"/>
    <x v="75"/>
    <x v="655"/>
    <x v="2"/>
    <x v="3"/>
    <x v="6"/>
    <x v="0"/>
    <x v="5"/>
    <x v="27"/>
    <x v="0"/>
    <x v="0"/>
    <x v="0"/>
    <x v="0"/>
    <x v="23"/>
    <x v="0"/>
    <x v="0"/>
  </r>
  <r>
    <x v="666"/>
    <x v="120"/>
    <x v="538"/>
    <x v="3"/>
    <x v="656"/>
    <x v="0"/>
    <x v="3"/>
    <x v="3"/>
    <x v="0"/>
    <x v="1"/>
    <x v="36"/>
    <x v="0"/>
    <x v="0"/>
    <x v="0"/>
    <x v="0"/>
    <x v="23"/>
    <x v="0"/>
    <x v="0"/>
  </r>
  <r>
    <x v="667"/>
    <x v="120"/>
    <x v="539"/>
    <x v="32"/>
    <x v="657"/>
    <x v="3"/>
    <x v="0"/>
    <x v="6"/>
    <x v="0"/>
    <x v="5"/>
    <x v="12"/>
    <x v="0"/>
    <x v="0"/>
    <x v="0"/>
    <x v="0"/>
    <x v="2"/>
    <x v="0"/>
    <x v="0"/>
  </r>
  <r>
    <x v="668"/>
    <x v="120"/>
    <x v="50"/>
    <x v="63"/>
    <x v="658"/>
    <x v="1"/>
    <x v="2"/>
    <x v="1"/>
    <x v="0"/>
    <x v="5"/>
    <x v="47"/>
    <x v="0"/>
    <x v="0"/>
    <x v="0"/>
    <x v="0"/>
    <x v="5"/>
    <x v="0"/>
    <x v="0"/>
  </r>
  <r>
    <x v="669"/>
    <x v="120"/>
    <x v="540"/>
    <x v="92"/>
    <x v="659"/>
    <x v="4"/>
    <x v="3"/>
    <x v="5"/>
    <x v="0"/>
    <x v="0"/>
    <x v="19"/>
    <x v="0"/>
    <x v="0"/>
    <x v="0"/>
    <x v="0"/>
    <x v="18"/>
    <x v="0"/>
    <x v="0"/>
  </r>
  <r>
    <x v="670"/>
    <x v="120"/>
    <x v="324"/>
    <x v="80"/>
    <x v="660"/>
    <x v="3"/>
    <x v="2"/>
    <x v="0"/>
    <x v="0"/>
    <x v="5"/>
    <x v="1"/>
    <x v="0"/>
    <x v="0"/>
    <x v="0"/>
    <x v="0"/>
    <x v="11"/>
    <x v="0"/>
    <x v="0"/>
  </r>
  <r>
    <x v="671"/>
    <x v="120"/>
    <x v="541"/>
    <x v="194"/>
    <x v="661"/>
    <x v="1"/>
    <x v="0"/>
    <x v="0"/>
    <x v="1"/>
    <x v="4"/>
    <x v="21"/>
    <x v="0"/>
    <x v="0"/>
    <x v="0"/>
    <x v="0"/>
    <x v="5"/>
    <x v="0"/>
    <x v="0"/>
  </r>
  <r>
    <x v="672"/>
    <x v="121"/>
    <x v="235"/>
    <x v="60"/>
    <x v="662"/>
    <x v="2"/>
    <x v="3"/>
    <x v="5"/>
    <x v="2"/>
    <x v="0"/>
    <x v="3"/>
    <x v="0"/>
    <x v="0"/>
    <x v="0"/>
    <x v="0"/>
    <x v="3"/>
    <x v="0"/>
    <x v="0"/>
  </r>
  <r>
    <x v="673"/>
    <x v="121"/>
    <x v="542"/>
    <x v="135"/>
    <x v="663"/>
    <x v="2"/>
    <x v="2"/>
    <x v="5"/>
    <x v="0"/>
    <x v="1"/>
    <x v="0"/>
    <x v="3"/>
    <x v="1"/>
    <x v="0"/>
    <x v="0"/>
    <x v="19"/>
    <x v="0"/>
    <x v="0"/>
  </r>
  <r>
    <x v="674"/>
    <x v="121"/>
    <x v="543"/>
    <x v="4"/>
    <x v="664"/>
    <x v="3"/>
    <x v="0"/>
    <x v="5"/>
    <x v="0"/>
    <x v="6"/>
    <x v="3"/>
    <x v="0"/>
    <x v="0"/>
    <x v="0"/>
    <x v="0"/>
    <x v="9"/>
    <x v="0"/>
    <x v="0"/>
  </r>
  <r>
    <x v="675"/>
    <x v="121"/>
    <x v="544"/>
    <x v="132"/>
    <x v="665"/>
    <x v="3"/>
    <x v="1"/>
    <x v="4"/>
    <x v="0"/>
    <x v="4"/>
    <x v="11"/>
    <x v="0"/>
    <x v="0"/>
    <x v="0"/>
    <x v="0"/>
    <x v="10"/>
    <x v="0"/>
    <x v="0"/>
  </r>
  <r>
    <x v="676"/>
    <x v="121"/>
    <x v="545"/>
    <x v="12"/>
    <x v="666"/>
    <x v="2"/>
    <x v="0"/>
    <x v="0"/>
    <x v="0"/>
    <x v="2"/>
    <x v="46"/>
    <x v="0"/>
    <x v="0"/>
    <x v="0"/>
    <x v="0"/>
    <x v="6"/>
    <x v="0"/>
    <x v="0"/>
  </r>
  <r>
    <x v="677"/>
    <x v="121"/>
    <x v="546"/>
    <x v="148"/>
    <x v="667"/>
    <x v="1"/>
    <x v="0"/>
    <x v="5"/>
    <x v="0"/>
    <x v="3"/>
    <x v="35"/>
    <x v="0"/>
    <x v="0"/>
    <x v="0"/>
    <x v="0"/>
    <x v="1"/>
    <x v="0"/>
    <x v="0"/>
  </r>
  <r>
    <x v="678"/>
    <x v="122"/>
    <x v="271"/>
    <x v="35"/>
    <x v="668"/>
    <x v="3"/>
    <x v="3"/>
    <x v="4"/>
    <x v="0"/>
    <x v="1"/>
    <x v="34"/>
    <x v="0"/>
    <x v="0"/>
    <x v="0"/>
    <x v="0"/>
    <x v="21"/>
    <x v="0"/>
    <x v="0"/>
  </r>
  <r>
    <x v="679"/>
    <x v="122"/>
    <x v="547"/>
    <x v="128"/>
    <x v="669"/>
    <x v="2"/>
    <x v="0"/>
    <x v="8"/>
    <x v="0"/>
    <x v="1"/>
    <x v="22"/>
    <x v="0"/>
    <x v="0"/>
    <x v="0"/>
    <x v="0"/>
    <x v="2"/>
    <x v="0"/>
    <x v="0"/>
  </r>
  <r>
    <x v="680"/>
    <x v="122"/>
    <x v="449"/>
    <x v="91"/>
    <x v="670"/>
    <x v="3"/>
    <x v="1"/>
    <x v="3"/>
    <x v="0"/>
    <x v="1"/>
    <x v="11"/>
    <x v="2"/>
    <x v="0"/>
    <x v="0"/>
    <x v="0"/>
    <x v="20"/>
    <x v="0"/>
    <x v="0"/>
  </r>
  <r>
    <x v="681"/>
    <x v="122"/>
    <x v="548"/>
    <x v="117"/>
    <x v="671"/>
    <x v="2"/>
    <x v="2"/>
    <x v="4"/>
    <x v="1"/>
    <x v="4"/>
    <x v="9"/>
    <x v="0"/>
    <x v="0"/>
    <x v="0"/>
    <x v="0"/>
    <x v="16"/>
    <x v="0"/>
    <x v="0"/>
  </r>
  <r>
    <x v="682"/>
    <x v="122"/>
    <x v="549"/>
    <x v="143"/>
    <x v="672"/>
    <x v="3"/>
    <x v="0"/>
    <x v="0"/>
    <x v="0"/>
    <x v="2"/>
    <x v="31"/>
    <x v="0"/>
    <x v="0"/>
    <x v="0"/>
    <x v="0"/>
    <x v="22"/>
    <x v="0"/>
    <x v="0"/>
  </r>
  <r>
    <x v="683"/>
    <x v="123"/>
    <x v="550"/>
    <x v="144"/>
    <x v="673"/>
    <x v="0"/>
    <x v="4"/>
    <x v="1"/>
    <x v="1"/>
    <x v="6"/>
    <x v="36"/>
    <x v="0"/>
    <x v="0"/>
    <x v="0"/>
    <x v="0"/>
    <x v="2"/>
    <x v="0"/>
    <x v="0"/>
  </r>
  <r>
    <x v="684"/>
    <x v="123"/>
    <x v="348"/>
    <x v="120"/>
    <x v="674"/>
    <x v="3"/>
    <x v="0"/>
    <x v="8"/>
    <x v="0"/>
    <x v="0"/>
    <x v="27"/>
    <x v="0"/>
    <x v="0"/>
    <x v="0"/>
    <x v="0"/>
    <x v="15"/>
    <x v="0"/>
    <x v="0"/>
  </r>
  <r>
    <x v="685"/>
    <x v="123"/>
    <x v="551"/>
    <x v="87"/>
    <x v="675"/>
    <x v="3"/>
    <x v="0"/>
    <x v="0"/>
    <x v="0"/>
    <x v="2"/>
    <x v="24"/>
    <x v="0"/>
    <x v="0"/>
    <x v="0"/>
    <x v="0"/>
    <x v="5"/>
    <x v="0"/>
    <x v="0"/>
  </r>
  <r>
    <x v="686"/>
    <x v="123"/>
    <x v="273"/>
    <x v="30"/>
    <x v="676"/>
    <x v="3"/>
    <x v="0"/>
    <x v="3"/>
    <x v="0"/>
    <x v="4"/>
    <x v="35"/>
    <x v="0"/>
    <x v="0"/>
    <x v="0"/>
    <x v="0"/>
    <x v="11"/>
    <x v="0"/>
    <x v="1"/>
  </r>
  <r>
    <x v="687"/>
    <x v="123"/>
    <x v="552"/>
    <x v="111"/>
    <x v="677"/>
    <x v="3"/>
    <x v="0"/>
    <x v="4"/>
    <x v="0"/>
    <x v="1"/>
    <x v="32"/>
    <x v="0"/>
    <x v="0"/>
    <x v="0"/>
    <x v="0"/>
    <x v="11"/>
    <x v="0"/>
    <x v="0"/>
  </r>
  <r>
    <x v="688"/>
    <x v="123"/>
    <x v="553"/>
    <x v="71"/>
    <x v="678"/>
    <x v="4"/>
    <x v="0"/>
    <x v="2"/>
    <x v="0"/>
    <x v="3"/>
    <x v="7"/>
    <x v="0"/>
    <x v="0"/>
    <x v="0"/>
    <x v="0"/>
    <x v="10"/>
    <x v="0"/>
    <x v="0"/>
  </r>
  <r>
    <x v="689"/>
    <x v="124"/>
    <x v="554"/>
    <x v="62"/>
    <x v="679"/>
    <x v="0"/>
    <x v="2"/>
    <x v="6"/>
    <x v="0"/>
    <x v="1"/>
    <x v="46"/>
    <x v="2"/>
    <x v="0"/>
    <x v="0"/>
    <x v="0"/>
    <x v="18"/>
    <x v="0"/>
    <x v="0"/>
  </r>
  <r>
    <x v="690"/>
    <x v="124"/>
    <x v="555"/>
    <x v="130"/>
    <x v="680"/>
    <x v="3"/>
    <x v="4"/>
    <x v="3"/>
    <x v="0"/>
    <x v="0"/>
    <x v="26"/>
    <x v="0"/>
    <x v="0"/>
    <x v="0"/>
    <x v="0"/>
    <x v="7"/>
    <x v="0"/>
    <x v="0"/>
  </r>
  <r>
    <x v="691"/>
    <x v="124"/>
    <x v="556"/>
    <x v="54"/>
    <x v="681"/>
    <x v="1"/>
    <x v="0"/>
    <x v="0"/>
    <x v="0"/>
    <x v="5"/>
    <x v="21"/>
    <x v="0"/>
    <x v="0"/>
    <x v="0"/>
    <x v="0"/>
    <x v="3"/>
    <x v="0"/>
    <x v="0"/>
  </r>
  <r>
    <x v="692"/>
    <x v="124"/>
    <x v="366"/>
    <x v="174"/>
    <x v="682"/>
    <x v="2"/>
    <x v="2"/>
    <x v="5"/>
    <x v="0"/>
    <x v="3"/>
    <x v="37"/>
    <x v="0"/>
    <x v="0"/>
    <x v="0"/>
    <x v="0"/>
    <x v="13"/>
    <x v="0"/>
    <x v="0"/>
  </r>
  <r>
    <x v="693"/>
    <x v="124"/>
    <x v="175"/>
    <x v="34"/>
    <x v="683"/>
    <x v="4"/>
    <x v="3"/>
    <x v="4"/>
    <x v="0"/>
    <x v="1"/>
    <x v="39"/>
    <x v="2"/>
    <x v="0"/>
    <x v="0"/>
    <x v="0"/>
    <x v="17"/>
    <x v="0"/>
    <x v="0"/>
  </r>
  <r>
    <x v="694"/>
    <x v="125"/>
    <x v="554"/>
    <x v="168"/>
    <x v="684"/>
    <x v="2"/>
    <x v="3"/>
    <x v="5"/>
    <x v="0"/>
    <x v="6"/>
    <x v="12"/>
    <x v="0"/>
    <x v="0"/>
    <x v="0"/>
    <x v="0"/>
    <x v="18"/>
    <x v="0"/>
    <x v="0"/>
  </r>
  <r>
    <x v="695"/>
    <x v="125"/>
    <x v="298"/>
    <x v="95"/>
    <x v="685"/>
    <x v="3"/>
    <x v="1"/>
    <x v="5"/>
    <x v="0"/>
    <x v="3"/>
    <x v="17"/>
    <x v="0"/>
    <x v="0"/>
    <x v="0"/>
    <x v="0"/>
    <x v="4"/>
    <x v="0"/>
    <x v="0"/>
  </r>
  <r>
    <x v="696"/>
    <x v="125"/>
    <x v="359"/>
    <x v="160"/>
    <x v="686"/>
    <x v="1"/>
    <x v="0"/>
    <x v="5"/>
    <x v="0"/>
    <x v="5"/>
    <x v="11"/>
    <x v="0"/>
    <x v="0"/>
    <x v="0"/>
    <x v="0"/>
    <x v="14"/>
    <x v="0"/>
    <x v="0"/>
  </r>
  <r>
    <x v="697"/>
    <x v="125"/>
    <x v="486"/>
    <x v="166"/>
    <x v="589"/>
    <x v="2"/>
    <x v="0"/>
    <x v="5"/>
    <x v="0"/>
    <x v="2"/>
    <x v="39"/>
    <x v="0"/>
    <x v="0"/>
    <x v="0"/>
    <x v="0"/>
    <x v="13"/>
    <x v="0"/>
    <x v="0"/>
  </r>
  <r>
    <x v="698"/>
    <x v="125"/>
    <x v="97"/>
    <x v="41"/>
    <x v="687"/>
    <x v="3"/>
    <x v="2"/>
    <x v="5"/>
    <x v="1"/>
    <x v="4"/>
    <x v="31"/>
    <x v="0"/>
    <x v="0"/>
    <x v="0"/>
    <x v="0"/>
    <x v="8"/>
    <x v="0"/>
    <x v="0"/>
  </r>
  <r>
    <x v="699"/>
    <x v="125"/>
    <x v="24"/>
    <x v="158"/>
    <x v="688"/>
    <x v="2"/>
    <x v="3"/>
    <x v="8"/>
    <x v="0"/>
    <x v="1"/>
    <x v="2"/>
    <x v="0"/>
    <x v="0"/>
    <x v="0"/>
    <x v="0"/>
    <x v="5"/>
    <x v="0"/>
    <x v="0"/>
  </r>
  <r>
    <x v="700"/>
    <x v="126"/>
    <x v="557"/>
    <x v="13"/>
    <x v="689"/>
    <x v="3"/>
    <x v="0"/>
    <x v="0"/>
    <x v="2"/>
    <x v="0"/>
    <x v="1"/>
    <x v="0"/>
    <x v="0"/>
    <x v="0"/>
    <x v="0"/>
    <x v="4"/>
    <x v="0"/>
    <x v="0"/>
  </r>
  <r>
    <x v="701"/>
    <x v="126"/>
    <x v="265"/>
    <x v="27"/>
    <x v="690"/>
    <x v="2"/>
    <x v="1"/>
    <x v="3"/>
    <x v="0"/>
    <x v="2"/>
    <x v="30"/>
    <x v="0"/>
    <x v="0"/>
    <x v="0"/>
    <x v="0"/>
    <x v="9"/>
    <x v="0"/>
    <x v="0"/>
  </r>
  <r>
    <x v="702"/>
    <x v="126"/>
    <x v="62"/>
    <x v="127"/>
    <x v="691"/>
    <x v="3"/>
    <x v="4"/>
    <x v="0"/>
    <x v="0"/>
    <x v="1"/>
    <x v="43"/>
    <x v="0"/>
    <x v="0"/>
    <x v="0"/>
    <x v="0"/>
    <x v="4"/>
    <x v="0"/>
    <x v="0"/>
  </r>
  <r>
    <x v="703"/>
    <x v="126"/>
    <x v="558"/>
    <x v="8"/>
    <x v="692"/>
    <x v="2"/>
    <x v="3"/>
    <x v="3"/>
    <x v="0"/>
    <x v="2"/>
    <x v="14"/>
    <x v="2"/>
    <x v="0"/>
    <x v="0"/>
    <x v="0"/>
    <x v="21"/>
    <x v="0"/>
    <x v="0"/>
  </r>
  <r>
    <x v="704"/>
    <x v="126"/>
    <x v="559"/>
    <x v="43"/>
    <x v="693"/>
    <x v="1"/>
    <x v="4"/>
    <x v="6"/>
    <x v="0"/>
    <x v="0"/>
    <x v="6"/>
    <x v="0"/>
    <x v="0"/>
    <x v="0"/>
    <x v="0"/>
    <x v="19"/>
    <x v="0"/>
    <x v="0"/>
  </r>
  <r>
    <x v="705"/>
    <x v="127"/>
    <x v="560"/>
    <x v="192"/>
    <x v="694"/>
    <x v="2"/>
    <x v="3"/>
    <x v="4"/>
    <x v="0"/>
    <x v="1"/>
    <x v="1"/>
    <x v="0"/>
    <x v="0"/>
    <x v="0"/>
    <x v="0"/>
    <x v="20"/>
    <x v="0"/>
    <x v="0"/>
  </r>
  <r>
    <x v="706"/>
    <x v="127"/>
    <x v="60"/>
    <x v="65"/>
    <x v="695"/>
    <x v="3"/>
    <x v="1"/>
    <x v="2"/>
    <x v="2"/>
    <x v="5"/>
    <x v="2"/>
    <x v="3"/>
    <x v="1"/>
    <x v="0"/>
    <x v="0"/>
    <x v="9"/>
    <x v="0"/>
    <x v="0"/>
  </r>
  <r>
    <x v="707"/>
    <x v="127"/>
    <x v="561"/>
    <x v="88"/>
    <x v="696"/>
    <x v="1"/>
    <x v="2"/>
    <x v="8"/>
    <x v="0"/>
    <x v="5"/>
    <x v="28"/>
    <x v="0"/>
    <x v="0"/>
    <x v="0"/>
    <x v="0"/>
    <x v="11"/>
    <x v="0"/>
    <x v="0"/>
  </r>
  <r>
    <x v="708"/>
    <x v="127"/>
    <x v="562"/>
    <x v="19"/>
    <x v="697"/>
    <x v="1"/>
    <x v="2"/>
    <x v="4"/>
    <x v="0"/>
    <x v="0"/>
    <x v="30"/>
    <x v="0"/>
    <x v="0"/>
    <x v="0"/>
    <x v="0"/>
    <x v="16"/>
    <x v="0"/>
    <x v="0"/>
  </r>
  <r>
    <x v="709"/>
    <x v="127"/>
    <x v="563"/>
    <x v="113"/>
    <x v="698"/>
    <x v="1"/>
    <x v="0"/>
    <x v="8"/>
    <x v="0"/>
    <x v="3"/>
    <x v="0"/>
    <x v="0"/>
    <x v="0"/>
    <x v="0"/>
    <x v="0"/>
    <x v="20"/>
    <x v="0"/>
    <x v="0"/>
  </r>
  <r>
    <x v="710"/>
    <x v="127"/>
    <x v="530"/>
    <x v="120"/>
    <x v="699"/>
    <x v="2"/>
    <x v="2"/>
    <x v="3"/>
    <x v="1"/>
    <x v="0"/>
    <x v="9"/>
    <x v="0"/>
    <x v="1"/>
    <x v="0"/>
    <x v="0"/>
    <x v="15"/>
    <x v="0"/>
    <x v="0"/>
  </r>
  <r>
    <x v="711"/>
    <x v="128"/>
    <x v="564"/>
    <x v="152"/>
    <x v="700"/>
    <x v="2"/>
    <x v="2"/>
    <x v="0"/>
    <x v="0"/>
    <x v="3"/>
    <x v="8"/>
    <x v="0"/>
    <x v="0"/>
    <x v="0"/>
    <x v="0"/>
    <x v="5"/>
    <x v="0"/>
    <x v="0"/>
  </r>
  <r>
    <x v="712"/>
    <x v="128"/>
    <x v="318"/>
    <x v="193"/>
    <x v="701"/>
    <x v="4"/>
    <x v="0"/>
    <x v="5"/>
    <x v="0"/>
    <x v="1"/>
    <x v="8"/>
    <x v="0"/>
    <x v="0"/>
    <x v="0"/>
    <x v="0"/>
    <x v="1"/>
    <x v="0"/>
    <x v="0"/>
  </r>
  <r>
    <x v="713"/>
    <x v="128"/>
    <x v="87"/>
    <x v="32"/>
    <x v="702"/>
    <x v="3"/>
    <x v="3"/>
    <x v="6"/>
    <x v="0"/>
    <x v="3"/>
    <x v="26"/>
    <x v="0"/>
    <x v="0"/>
    <x v="0"/>
    <x v="0"/>
    <x v="23"/>
    <x v="0"/>
    <x v="0"/>
  </r>
  <r>
    <x v="714"/>
    <x v="128"/>
    <x v="339"/>
    <x v="2"/>
    <x v="703"/>
    <x v="4"/>
    <x v="2"/>
    <x v="6"/>
    <x v="2"/>
    <x v="1"/>
    <x v="0"/>
    <x v="0"/>
    <x v="0"/>
    <x v="0"/>
    <x v="0"/>
    <x v="18"/>
    <x v="0"/>
    <x v="0"/>
  </r>
  <r>
    <x v="715"/>
    <x v="128"/>
    <x v="565"/>
    <x v="39"/>
    <x v="704"/>
    <x v="1"/>
    <x v="4"/>
    <x v="1"/>
    <x v="1"/>
    <x v="1"/>
    <x v="12"/>
    <x v="0"/>
    <x v="0"/>
    <x v="0"/>
    <x v="0"/>
    <x v="23"/>
    <x v="0"/>
    <x v="0"/>
  </r>
  <r>
    <x v="716"/>
    <x v="129"/>
    <x v="566"/>
    <x v="74"/>
    <x v="705"/>
    <x v="3"/>
    <x v="0"/>
    <x v="2"/>
    <x v="0"/>
    <x v="6"/>
    <x v="11"/>
    <x v="0"/>
    <x v="0"/>
    <x v="0"/>
    <x v="0"/>
    <x v="22"/>
    <x v="0"/>
    <x v="0"/>
  </r>
  <r>
    <x v="717"/>
    <x v="129"/>
    <x v="567"/>
    <x v="182"/>
    <x v="706"/>
    <x v="3"/>
    <x v="0"/>
    <x v="6"/>
    <x v="2"/>
    <x v="4"/>
    <x v="25"/>
    <x v="3"/>
    <x v="1"/>
    <x v="0"/>
    <x v="0"/>
    <x v="10"/>
    <x v="0"/>
    <x v="0"/>
  </r>
  <r>
    <x v="718"/>
    <x v="129"/>
    <x v="568"/>
    <x v="139"/>
    <x v="707"/>
    <x v="3"/>
    <x v="2"/>
    <x v="5"/>
    <x v="2"/>
    <x v="1"/>
    <x v="42"/>
    <x v="0"/>
    <x v="0"/>
    <x v="0"/>
    <x v="0"/>
    <x v="14"/>
    <x v="0"/>
    <x v="0"/>
  </r>
  <r>
    <x v="719"/>
    <x v="129"/>
    <x v="453"/>
    <x v="58"/>
    <x v="708"/>
    <x v="2"/>
    <x v="0"/>
    <x v="0"/>
    <x v="0"/>
    <x v="3"/>
    <x v="15"/>
    <x v="0"/>
    <x v="0"/>
    <x v="0"/>
    <x v="0"/>
    <x v="21"/>
    <x v="0"/>
    <x v="0"/>
  </r>
  <r>
    <x v="720"/>
    <x v="129"/>
    <x v="569"/>
    <x v="30"/>
    <x v="709"/>
    <x v="2"/>
    <x v="2"/>
    <x v="2"/>
    <x v="0"/>
    <x v="4"/>
    <x v="30"/>
    <x v="1"/>
    <x v="1"/>
    <x v="0"/>
    <x v="0"/>
    <x v="6"/>
    <x v="0"/>
    <x v="0"/>
  </r>
  <r>
    <x v="721"/>
    <x v="129"/>
    <x v="570"/>
    <x v="25"/>
    <x v="710"/>
    <x v="2"/>
    <x v="3"/>
    <x v="3"/>
    <x v="0"/>
    <x v="4"/>
    <x v="12"/>
    <x v="0"/>
    <x v="0"/>
    <x v="0"/>
    <x v="0"/>
    <x v="19"/>
    <x v="0"/>
    <x v="0"/>
  </r>
  <r>
    <x v="722"/>
    <x v="130"/>
    <x v="571"/>
    <x v="171"/>
    <x v="711"/>
    <x v="1"/>
    <x v="0"/>
    <x v="4"/>
    <x v="1"/>
    <x v="1"/>
    <x v="42"/>
    <x v="0"/>
    <x v="0"/>
    <x v="0"/>
    <x v="0"/>
    <x v="2"/>
    <x v="0"/>
    <x v="0"/>
  </r>
  <r>
    <x v="723"/>
    <x v="130"/>
    <x v="572"/>
    <x v="176"/>
    <x v="712"/>
    <x v="1"/>
    <x v="1"/>
    <x v="3"/>
    <x v="0"/>
    <x v="0"/>
    <x v="12"/>
    <x v="0"/>
    <x v="0"/>
    <x v="0"/>
    <x v="0"/>
    <x v="12"/>
    <x v="0"/>
    <x v="0"/>
  </r>
  <r>
    <x v="724"/>
    <x v="130"/>
    <x v="333"/>
    <x v="39"/>
    <x v="713"/>
    <x v="3"/>
    <x v="1"/>
    <x v="5"/>
    <x v="2"/>
    <x v="0"/>
    <x v="37"/>
    <x v="0"/>
    <x v="0"/>
    <x v="0"/>
    <x v="0"/>
    <x v="17"/>
    <x v="0"/>
    <x v="0"/>
  </r>
  <r>
    <x v="725"/>
    <x v="130"/>
    <x v="573"/>
    <x v="195"/>
    <x v="714"/>
    <x v="3"/>
    <x v="1"/>
    <x v="5"/>
    <x v="0"/>
    <x v="5"/>
    <x v="26"/>
    <x v="0"/>
    <x v="0"/>
    <x v="0"/>
    <x v="0"/>
    <x v="8"/>
    <x v="0"/>
    <x v="0"/>
  </r>
  <r>
    <x v="726"/>
    <x v="130"/>
    <x v="574"/>
    <x v="72"/>
    <x v="12"/>
    <x v="1"/>
    <x v="4"/>
    <x v="6"/>
    <x v="2"/>
    <x v="4"/>
    <x v="13"/>
    <x v="0"/>
    <x v="0"/>
    <x v="0"/>
    <x v="0"/>
    <x v="21"/>
    <x v="0"/>
    <x v="0"/>
  </r>
  <r>
    <x v="727"/>
    <x v="130"/>
    <x v="575"/>
    <x v="20"/>
    <x v="715"/>
    <x v="3"/>
    <x v="3"/>
    <x v="2"/>
    <x v="0"/>
    <x v="1"/>
    <x v="36"/>
    <x v="0"/>
    <x v="0"/>
    <x v="0"/>
    <x v="0"/>
    <x v="23"/>
    <x v="0"/>
    <x v="0"/>
  </r>
  <r>
    <x v="728"/>
    <x v="131"/>
    <x v="576"/>
    <x v="171"/>
    <x v="716"/>
    <x v="3"/>
    <x v="2"/>
    <x v="0"/>
    <x v="0"/>
    <x v="6"/>
    <x v="21"/>
    <x v="0"/>
    <x v="0"/>
    <x v="0"/>
    <x v="0"/>
    <x v="19"/>
    <x v="0"/>
    <x v="0"/>
  </r>
  <r>
    <x v="729"/>
    <x v="131"/>
    <x v="577"/>
    <x v="148"/>
    <x v="717"/>
    <x v="2"/>
    <x v="2"/>
    <x v="3"/>
    <x v="2"/>
    <x v="0"/>
    <x v="41"/>
    <x v="2"/>
    <x v="0"/>
    <x v="0"/>
    <x v="0"/>
    <x v="7"/>
    <x v="0"/>
    <x v="0"/>
  </r>
  <r>
    <x v="730"/>
    <x v="131"/>
    <x v="459"/>
    <x v="13"/>
    <x v="718"/>
    <x v="2"/>
    <x v="1"/>
    <x v="1"/>
    <x v="2"/>
    <x v="6"/>
    <x v="11"/>
    <x v="0"/>
    <x v="0"/>
    <x v="0"/>
    <x v="0"/>
    <x v="8"/>
    <x v="0"/>
    <x v="0"/>
  </r>
  <r>
    <x v="731"/>
    <x v="131"/>
    <x v="303"/>
    <x v="92"/>
    <x v="719"/>
    <x v="0"/>
    <x v="4"/>
    <x v="3"/>
    <x v="2"/>
    <x v="1"/>
    <x v="29"/>
    <x v="3"/>
    <x v="1"/>
    <x v="0"/>
    <x v="0"/>
    <x v="15"/>
    <x v="0"/>
    <x v="0"/>
  </r>
  <r>
    <x v="732"/>
    <x v="131"/>
    <x v="578"/>
    <x v="46"/>
    <x v="720"/>
    <x v="0"/>
    <x v="2"/>
    <x v="8"/>
    <x v="0"/>
    <x v="1"/>
    <x v="30"/>
    <x v="0"/>
    <x v="0"/>
    <x v="0"/>
    <x v="0"/>
    <x v="11"/>
    <x v="0"/>
    <x v="0"/>
  </r>
  <r>
    <x v="733"/>
    <x v="132"/>
    <x v="579"/>
    <x v="79"/>
    <x v="721"/>
    <x v="2"/>
    <x v="2"/>
    <x v="8"/>
    <x v="0"/>
    <x v="4"/>
    <x v="5"/>
    <x v="1"/>
    <x v="1"/>
    <x v="0"/>
    <x v="0"/>
    <x v="15"/>
    <x v="0"/>
    <x v="0"/>
  </r>
  <r>
    <x v="734"/>
    <x v="132"/>
    <x v="45"/>
    <x v="20"/>
    <x v="722"/>
    <x v="1"/>
    <x v="3"/>
    <x v="0"/>
    <x v="0"/>
    <x v="6"/>
    <x v="28"/>
    <x v="0"/>
    <x v="0"/>
    <x v="0"/>
    <x v="0"/>
    <x v="21"/>
    <x v="0"/>
    <x v="0"/>
  </r>
  <r>
    <x v="735"/>
    <x v="132"/>
    <x v="371"/>
    <x v="51"/>
    <x v="723"/>
    <x v="2"/>
    <x v="0"/>
    <x v="0"/>
    <x v="0"/>
    <x v="5"/>
    <x v="30"/>
    <x v="0"/>
    <x v="0"/>
    <x v="0"/>
    <x v="0"/>
    <x v="2"/>
    <x v="0"/>
    <x v="0"/>
  </r>
  <r>
    <x v="736"/>
    <x v="132"/>
    <x v="580"/>
    <x v="166"/>
    <x v="724"/>
    <x v="2"/>
    <x v="3"/>
    <x v="8"/>
    <x v="0"/>
    <x v="4"/>
    <x v="26"/>
    <x v="0"/>
    <x v="0"/>
    <x v="0"/>
    <x v="0"/>
    <x v="16"/>
    <x v="0"/>
    <x v="0"/>
  </r>
  <r>
    <x v="737"/>
    <x v="132"/>
    <x v="581"/>
    <x v="116"/>
    <x v="725"/>
    <x v="3"/>
    <x v="0"/>
    <x v="1"/>
    <x v="0"/>
    <x v="2"/>
    <x v="24"/>
    <x v="0"/>
    <x v="0"/>
    <x v="0"/>
    <x v="0"/>
    <x v="3"/>
    <x v="0"/>
    <x v="0"/>
  </r>
  <r>
    <x v="738"/>
    <x v="132"/>
    <x v="582"/>
    <x v="50"/>
    <x v="726"/>
    <x v="1"/>
    <x v="1"/>
    <x v="2"/>
    <x v="0"/>
    <x v="6"/>
    <x v="34"/>
    <x v="0"/>
    <x v="0"/>
    <x v="0"/>
    <x v="0"/>
    <x v="5"/>
    <x v="0"/>
    <x v="0"/>
  </r>
  <r>
    <x v="739"/>
    <x v="133"/>
    <x v="324"/>
    <x v="108"/>
    <x v="727"/>
    <x v="4"/>
    <x v="0"/>
    <x v="8"/>
    <x v="1"/>
    <x v="0"/>
    <x v="25"/>
    <x v="0"/>
    <x v="0"/>
    <x v="0"/>
    <x v="0"/>
    <x v="11"/>
    <x v="0"/>
    <x v="0"/>
  </r>
  <r>
    <x v="740"/>
    <x v="133"/>
    <x v="532"/>
    <x v="49"/>
    <x v="728"/>
    <x v="3"/>
    <x v="4"/>
    <x v="0"/>
    <x v="0"/>
    <x v="0"/>
    <x v="5"/>
    <x v="0"/>
    <x v="0"/>
    <x v="0"/>
    <x v="0"/>
    <x v="16"/>
    <x v="0"/>
    <x v="0"/>
  </r>
  <r>
    <x v="741"/>
    <x v="133"/>
    <x v="583"/>
    <x v="168"/>
    <x v="729"/>
    <x v="1"/>
    <x v="3"/>
    <x v="6"/>
    <x v="0"/>
    <x v="0"/>
    <x v="10"/>
    <x v="0"/>
    <x v="0"/>
    <x v="0"/>
    <x v="0"/>
    <x v="23"/>
    <x v="0"/>
    <x v="0"/>
  </r>
  <r>
    <x v="742"/>
    <x v="133"/>
    <x v="584"/>
    <x v="125"/>
    <x v="730"/>
    <x v="2"/>
    <x v="2"/>
    <x v="4"/>
    <x v="0"/>
    <x v="3"/>
    <x v="37"/>
    <x v="3"/>
    <x v="1"/>
    <x v="0"/>
    <x v="0"/>
    <x v="15"/>
    <x v="0"/>
    <x v="0"/>
  </r>
  <r>
    <x v="743"/>
    <x v="133"/>
    <x v="585"/>
    <x v="121"/>
    <x v="731"/>
    <x v="3"/>
    <x v="2"/>
    <x v="1"/>
    <x v="0"/>
    <x v="1"/>
    <x v="11"/>
    <x v="3"/>
    <x v="1"/>
    <x v="0"/>
    <x v="0"/>
    <x v="12"/>
    <x v="0"/>
    <x v="0"/>
  </r>
  <r>
    <x v="744"/>
    <x v="134"/>
    <x v="449"/>
    <x v="30"/>
    <x v="732"/>
    <x v="3"/>
    <x v="2"/>
    <x v="5"/>
    <x v="0"/>
    <x v="4"/>
    <x v="9"/>
    <x v="0"/>
    <x v="0"/>
    <x v="0"/>
    <x v="0"/>
    <x v="20"/>
    <x v="0"/>
    <x v="0"/>
  </r>
  <r>
    <x v="745"/>
    <x v="134"/>
    <x v="485"/>
    <x v="2"/>
    <x v="733"/>
    <x v="3"/>
    <x v="4"/>
    <x v="1"/>
    <x v="1"/>
    <x v="0"/>
    <x v="20"/>
    <x v="0"/>
    <x v="0"/>
    <x v="0"/>
    <x v="0"/>
    <x v="10"/>
    <x v="0"/>
    <x v="0"/>
  </r>
  <r>
    <x v="746"/>
    <x v="134"/>
    <x v="586"/>
    <x v="30"/>
    <x v="734"/>
    <x v="3"/>
    <x v="1"/>
    <x v="6"/>
    <x v="2"/>
    <x v="2"/>
    <x v="46"/>
    <x v="1"/>
    <x v="1"/>
    <x v="0"/>
    <x v="0"/>
    <x v="15"/>
    <x v="0"/>
    <x v="0"/>
  </r>
  <r>
    <x v="747"/>
    <x v="134"/>
    <x v="587"/>
    <x v="66"/>
    <x v="735"/>
    <x v="3"/>
    <x v="1"/>
    <x v="6"/>
    <x v="2"/>
    <x v="0"/>
    <x v="45"/>
    <x v="0"/>
    <x v="0"/>
    <x v="0"/>
    <x v="0"/>
    <x v="5"/>
    <x v="0"/>
    <x v="0"/>
  </r>
  <r>
    <x v="748"/>
    <x v="134"/>
    <x v="482"/>
    <x v="16"/>
    <x v="736"/>
    <x v="4"/>
    <x v="0"/>
    <x v="5"/>
    <x v="1"/>
    <x v="5"/>
    <x v="13"/>
    <x v="0"/>
    <x v="0"/>
    <x v="0"/>
    <x v="0"/>
    <x v="18"/>
    <x v="0"/>
    <x v="0"/>
  </r>
  <r>
    <x v="749"/>
    <x v="134"/>
    <x v="428"/>
    <x v="29"/>
    <x v="737"/>
    <x v="3"/>
    <x v="3"/>
    <x v="3"/>
    <x v="0"/>
    <x v="1"/>
    <x v="33"/>
    <x v="0"/>
    <x v="0"/>
    <x v="0"/>
    <x v="0"/>
    <x v="7"/>
    <x v="0"/>
    <x v="0"/>
  </r>
  <r>
    <x v="750"/>
    <x v="135"/>
    <x v="588"/>
    <x v="33"/>
    <x v="738"/>
    <x v="1"/>
    <x v="2"/>
    <x v="0"/>
    <x v="0"/>
    <x v="6"/>
    <x v="13"/>
    <x v="0"/>
    <x v="0"/>
    <x v="0"/>
    <x v="0"/>
    <x v="14"/>
    <x v="0"/>
    <x v="0"/>
  </r>
  <r>
    <x v="751"/>
    <x v="135"/>
    <x v="589"/>
    <x v="28"/>
    <x v="739"/>
    <x v="3"/>
    <x v="1"/>
    <x v="8"/>
    <x v="0"/>
    <x v="1"/>
    <x v="2"/>
    <x v="0"/>
    <x v="0"/>
    <x v="0"/>
    <x v="0"/>
    <x v="16"/>
    <x v="0"/>
    <x v="0"/>
  </r>
  <r>
    <x v="752"/>
    <x v="135"/>
    <x v="590"/>
    <x v="47"/>
    <x v="740"/>
    <x v="0"/>
    <x v="0"/>
    <x v="3"/>
    <x v="0"/>
    <x v="6"/>
    <x v="2"/>
    <x v="0"/>
    <x v="1"/>
    <x v="0"/>
    <x v="0"/>
    <x v="19"/>
    <x v="0"/>
    <x v="0"/>
  </r>
  <r>
    <x v="753"/>
    <x v="135"/>
    <x v="127"/>
    <x v="67"/>
    <x v="741"/>
    <x v="3"/>
    <x v="3"/>
    <x v="2"/>
    <x v="0"/>
    <x v="6"/>
    <x v="3"/>
    <x v="0"/>
    <x v="0"/>
    <x v="0"/>
    <x v="0"/>
    <x v="19"/>
    <x v="0"/>
    <x v="0"/>
  </r>
  <r>
    <x v="754"/>
    <x v="135"/>
    <x v="591"/>
    <x v="67"/>
    <x v="742"/>
    <x v="1"/>
    <x v="0"/>
    <x v="1"/>
    <x v="0"/>
    <x v="4"/>
    <x v="28"/>
    <x v="0"/>
    <x v="0"/>
    <x v="0"/>
    <x v="0"/>
    <x v="14"/>
    <x v="0"/>
    <x v="1"/>
  </r>
  <r>
    <x v="755"/>
    <x v="136"/>
    <x v="396"/>
    <x v="1"/>
    <x v="743"/>
    <x v="4"/>
    <x v="2"/>
    <x v="5"/>
    <x v="0"/>
    <x v="3"/>
    <x v="0"/>
    <x v="3"/>
    <x v="1"/>
    <x v="0"/>
    <x v="0"/>
    <x v="10"/>
    <x v="0"/>
    <x v="0"/>
  </r>
  <r>
    <x v="756"/>
    <x v="136"/>
    <x v="592"/>
    <x v="32"/>
    <x v="215"/>
    <x v="4"/>
    <x v="4"/>
    <x v="1"/>
    <x v="0"/>
    <x v="6"/>
    <x v="30"/>
    <x v="0"/>
    <x v="0"/>
    <x v="0"/>
    <x v="0"/>
    <x v="5"/>
    <x v="0"/>
    <x v="0"/>
  </r>
  <r>
    <x v="757"/>
    <x v="136"/>
    <x v="593"/>
    <x v="100"/>
    <x v="744"/>
    <x v="3"/>
    <x v="1"/>
    <x v="3"/>
    <x v="0"/>
    <x v="6"/>
    <x v="43"/>
    <x v="2"/>
    <x v="0"/>
    <x v="0"/>
    <x v="0"/>
    <x v="7"/>
    <x v="0"/>
    <x v="0"/>
  </r>
  <r>
    <x v="758"/>
    <x v="136"/>
    <x v="594"/>
    <x v="163"/>
    <x v="745"/>
    <x v="4"/>
    <x v="0"/>
    <x v="6"/>
    <x v="0"/>
    <x v="4"/>
    <x v="9"/>
    <x v="0"/>
    <x v="0"/>
    <x v="0"/>
    <x v="0"/>
    <x v="19"/>
    <x v="0"/>
    <x v="0"/>
  </r>
  <r>
    <x v="759"/>
    <x v="136"/>
    <x v="551"/>
    <x v="129"/>
    <x v="746"/>
    <x v="1"/>
    <x v="2"/>
    <x v="8"/>
    <x v="0"/>
    <x v="0"/>
    <x v="29"/>
    <x v="0"/>
    <x v="0"/>
    <x v="0"/>
    <x v="0"/>
    <x v="5"/>
    <x v="0"/>
    <x v="0"/>
  </r>
  <r>
    <x v="760"/>
    <x v="136"/>
    <x v="595"/>
    <x v="114"/>
    <x v="747"/>
    <x v="1"/>
    <x v="3"/>
    <x v="1"/>
    <x v="0"/>
    <x v="5"/>
    <x v="38"/>
    <x v="0"/>
    <x v="0"/>
    <x v="0"/>
    <x v="0"/>
    <x v="19"/>
    <x v="0"/>
    <x v="0"/>
  </r>
  <r>
    <x v="761"/>
    <x v="137"/>
    <x v="596"/>
    <x v="121"/>
    <x v="748"/>
    <x v="3"/>
    <x v="2"/>
    <x v="2"/>
    <x v="0"/>
    <x v="2"/>
    <x v="39"/>
    <x v="0"/>
    <x v="0"/>
    <x v="0"/>
    <x v="0"/>
    <x v="17"/>
    <x v="0"/>
    <x v="0"/>
  </r>
  <r>
    <x v="762"/>
    <x v="137"/>
    <x v="597"/>
    <x v="69"/>
    <x v="749"/>
    <x v="3"/>
    <x v="4"/>
    <x v="6"/>
    <x v="2"/>
    <x v="4"/>
    <x v="12"/>
    <x v="0"/>
    <x v="0"/>
    <x v="0"/>
    <x v="0"/>
    <x v="17"/>
    <x v="0"/>
    <x v="0"/>
  </r>
  <r>
    <x v="763"/>
    <x v="137"/>
    <x v="99"/>
    <x v="99"/>
    <x v="750"/>
    <x v="2"/>
    <x v="0"/>
    <x v="2"/>
    <x v="0"/>
    <x v="3"/>
    <x v="29"/>
    <x v="0"/>
    <x v="0"/>
    <x v="0"/>
    <x v="0"/>
    <x v="6"/>
    <x v="0"/>
    <x v="0"/>
  </r>
  <r>
    <x v="764"/>
    <x v="137"/>
    <x v="183"/>
    <x v="137"/>
    <x v="751"/>
    <x v="1"/>
    <x v="1"/>
    <x v="8"/>
    <x v="0"/>
    <x v="4"/>
    <x v="47"/>
    <x v="0"/>
    <x v="0"/>
    <x v="0"/>
    <x v="0"/>
    <x v="16"/>
    <x v="0"/>
    <x v="0"/>
  </r>
  <r>
    <x v="765"/>
    <x v="137"/>
    <x v="598"/>
    <x v="181"/>
    <x v="752"/>
    <x v="1"/>
    <x v="2"/>
    <x v="1"/>
    <x v="2"/>
    <x v="1"/>
    <x v="38"/>
    <x v="0"/>
    <x v="0"/>
    <x v="0"/>
    <x v="0"/>
    <x v="5"/>
    <x v="0"/>
    <x v="1"/>
  </r>
  <r>
    <x v="766"/>
    <x v="138"/>
    <x v="599"/>
    <x v="190"/>
    <x v="753"/>
    <x v="2"/>
    <x v="3"/>
    <x v="4"/>
    <x v="0"/>
    <x v="0"/>
    <x v="0"/>
    <x v="0"/>
    <x v="0"/>
    <x v="0"/>
    <x v="0"/>
    <x v="22"/>
    <x v="0"/>
    <x v="0"/>
  </r>
  <r>
    <x v="767"/>
    <x v="138"/>
    <x v="108"/>
    <x v="164"/>
    <x v="754"/>
    <x v="2"/>
    <x v="0"/>
    <x v="3"/>
    <x v="0"/>
    <x v="0"/>
    <x v="47"/>
    <x v="0"/>
    <x v="0"/>
    <x v="0"/>
    <x v="0"/>
    <x v="20"/>
    <x v="0"/>
    <x v="0"/>
  </r>
  <r>
    <x v="768"/>
    <x v="138"/>
    <x v="600"/>
    <x v="53"/>
    <x v="755"/>
    <x v="3"/>
    <x v="3"/>
    <x v="1"/>
    <x v="0"/>
    <x v="6"/>
    <x v="35"/>
    <x v="0"/>
    <x v="0"/>
    <x v="0"/>
    <x v="0"/>
    <x v="22"/>
    <x v="0"/>
    <x v="0"/>
  </r>
  <r>
    <x v="769"/>
    <x v="138"/>
    <x v="286"/>
    <x v="34"/>
    <x v="756"/>
    <x v="2"/>
    <x v="2"/>
    <x v="3"/>
    <x v="0"/>
    <x v="0"/>
    <x v="29"/>
    <x v="1"/>
    <x v="1"/>
    <x v="0"/>
    <x v="0"/>
    <x v="15"/>
    <x v="0"/>
    <x v="0"/>
  </r>
  <r>
    <x v="770"/>
    <x v="138"/>
    <x v="601"/>
    <x v="26"/>
    <x v="757"/>
    <x v="3"/>
    <x v="1"/>
    <x v="8"/>
    <x v="2"/>
    <x v="0"/>
    <x v="22"/>
    <x v="3"/>
    <x v="1"/>
    <x v="0"/>
    <x v="0"/>
    <x v="6"/>
    <x v="0"/>
    <x v="0"/>
  </r>
  <r>
    <x v="771"/>
    <x v="138"/>
    <x v="602"/>
    <x v="91"/>
    <x v="758"/>
    <x v="2"/>
    <x v="0"/>
    <x v="1"/>
    <x v="2"/>
    <x v="0"/>
    <x v="37"/>
    <x v="3"/>
    <x v="1"/>
    <x v="0"/>
    <x v="0"/>
    <x v="23"/>
    <x v="0"/>
    <x v="0"/>
  </r>
  <r>
    <x v="772"/>
    <x v="139"/>
    <x v="603"/>
    <x v="193"/>
    <x v="759"/>
    <x v="2"/>
    <x v="3"/>
    <x v="3"/>
    <x v="0"/>
    <x v="0"/>
    <x v="25"/>
    <x v="0"/>
    <x v="0"/>
    <x v="0"/>
    <x v="0"/>
    <x v="23"/>
    <x v="0"/>
    <x v="0"/>
  </r>
  <r>
    <x v="773"/>
    <x v="139"/>
    <x v="604"/>
    <x v="171"/>
    <x v="760"/>
    <x v="0"/>
    <x v="0"/>
    <x v="5"/>
    <x v="0"/>
    <x v="2"/>
    <x v="10"/>
    <x v="1"/>
    <x v="1"/>
    <x v="0"/>
    <x v="0"/>
    <x v="9"/>
    <x v="0"/>
    <x v="0"/>
  </r>
  <r>
    <x v="774"/>
    <x v="139"/>
    <x v="286"/>
    <x v="16"/>
    <x v="761"/>
    <x v="3"/>
    <x v="0"/>
    <x v="3"/>
    <x v="0"/>
    <x v="3"/>
    <x v="36"/>
    <x v="0"/>
    <x v="0"/>
    <x v="0"/>
    <x v="0"/>
    <x v="15"/>
    <x v="0"/>
    <x v="0"/>
  </r>
  <r>
    <x v="775"/>
    <x v="139"/>
    <x v="314"/>
    <x v="114"/>
    <x v="762"/>
    <x v="3"/>
    <x v="0"/>
    <x v="1"/>
    <x v="0"/>
    <x v="6"/>
    <x v="13"/>
    <x v="0"/>
    <x v="0"/>
    <x v="0"/>
    <x v="0"/>
    <x v="16"/>
    <x v="0"/>
    <x v="0"/>
  </r>
  <r>
    <x v="776"/>
    <x v="139"/>
    <x v="605"/>
    <x v="16"/>
    <x v="763"/>
    <x v="3"/>
    <x v="3"/>
    <x v="0"/>
    <x v="0"/>
    <x v="0"/>
    <x v="31"/>
    <x v="0"/>
    <x v="0"/>
    <x v="0"/>
    <x v="0"/>
    <x v="4"/>
    <x v="0"/>
    <x v="0"/>
  </r>
  <r>
    <x v="777"/>
    <x v="140"/>
    <x v="51"/>
    <x v="95"/>
    <x v="764"/>
    <x v="3"/>
    <x v="2"/>
    <x v="1"/>
    <x v="0"/>
    <x v="6"/>
    <x v="23"/>
    <x v="3"/>
    <x v="1"/>
    <x v="0"/>
    <x v="0"/>
    <x v="12"/>
    <x v="0"/>
    <x v="0"/>
  </r>
  <r>
    <x v="778"/>
    <x v="140"/>
    <x v="285"/>
    <x v="54"/>
    <x v="765"/>
    <x v="3"/>
    <x v="3"/>
    <x v="1"/>
    <x v="0"/>
    <x v="3"/>
    <x v="0"/>
    <x v="0"/>
    <x v="0"/>
    <x v="0"/>
    <x v="0"/>
    <x v="4"/>
    <x v="0"/>
    <x v="0"/>
  </r>
  <r>
    <x v="779"/>
    <x v="140"/>
    <x v="340"/>
    <x v="121"/>
    <x v="766"/>
    <x v="4"/>
    <x v="0"/>
    <x v="3"/>
    <x v="0"/>
    <x v="5"/>
    <x v="35"/>
    <x v="0"/>
    <x v="0"/>
    <x v="0"/>
    <x v="0"/>
    <x v="0"/>
    <x v="0"/>
    <x v="0"/>
  </r>
  <r>
    <x v="780"/>
    <x v="140"/>
    <x v="418"/>
    <x v="190"/>
    <x v="767"/>
    <x v="3"/>
    <x v="2"/>
    <x v="2"/>
    <x v="0"/>
    <x v="0"/>
    <x v="32"/>
    <x v="1"/>
    <x v="1"/>
    <x v="0"/>
    <x v="0"/>
    <x v="12"/>
    <x v="0"/>
    <x v="0"/>
  </r>
  <r>
    <x v="781"/>
    <x v="140"/>
    <x v="606"/>
    <x v="160"/>
    <x v="768"/>
    <x v="3"/>
    <x v="2"/>
    <x v="4"/>
    <x v="0"/>
    <x v="6"/>
    <x v="13"/>
    <x v="0"/>
    <x v="0"/>
    <x v="0"/>
    <x v="0"/>
    <x v="11"/>
    <x v="0"/>
    <x v="1"/>
  </r>
  <r>
    <x v="782"/>
    <x v="140"/>
    <x v="607"/>
    <x v="119"/>
    <x v="769"/>
    <x v="2"/>
    <x v="3"/>
    <x v="2"/>
    <x v="0"/>
    <x v="4"/>
    <x v="3"/>
    <x v="0"/>
    <x v="0"/>
    <x v="0"/>
    <x v="0"/>
    <x v="11"/>
    <x v="0"/>
    <x v="0"/>
  </r>
  <r>
    <x v="783"/>
    <x v="141"/>
    <x v="306"/>
    <x v="40"/>
    <x v="770"/>
    <x v="1"/>
    <x v="4"/>
    <x v="3"/>
    <x v="2"/>
    <x v="6"/>
    <x v="13"/>
    <x v="1"/>
    <x v="1"/>
    <x v="0"/>
    <x v="0"/>
    <x v="10"/>
    <x v="0"/>
    <x v="0"/>
  </r>
  <r>
    <x v="784"/>
    <x v="141"/>
    <x v="608"/>
    <x v="163"/>
    <x v="771"/>
    <x v="2"/>
    <x v="0"/>
    <x v="2"/>
    <x v="0"/>
    <x v="0"/>
    <x v="27"/>
    <x v="0"/>
    <x v="0"/>
    <x v="0"/>
    <x v="0"/>
    <x v="21"/>
    <x v="0"/>
    <x v="1"/>
  </r>
  <r>
    <x v="785"/>
    <x v="141"/>
    <x v="609"/>
    <x v="23"/>
    <x v="772"/>
    <x v="3"/>
    <x v="2"/>
    <x v="6"/>
    <x v="0"/>
    <x v="1"/>
    <x v="35"/>
    <x v="0"/>
    <x v="0"/>
    <x v="0"/>
    <x v="0"/>
    <x v="13"/>
    <x v="0"/>
    <x v="0"/>
  </r>
  <r>
    <x v="786"/>
    <x v="141"/>
    <x v="610"/>
    <x v="34"/>
    <x v="773"/>
    <x v="1"/>
    <x v="0"/>
    <x v="0"/>
    <x v="1"/>
    <x v="2"/>
    <x v="43"/>
    <x v="0"/>
    <x v="0"/>
    <x v="0"/>
    <x v="0"/>
    <x v="15"/>
    <x v="0"/>
    <x v="0"/>
  </r>
  <r>
    <x v="787"/>
    <x v="141"/>
    <x v="561"/>
    <x v="174"/>
    <x v="774"/>
    <x v="3"/>
    <x v="2"/>
    <x v="2"/>
    <x v="0"/>
    <x v="4"/>
    <x v="26"/>
    <x v="0"/>
    <x v="0"/>
    <x v="0"/>
    <x v="0"/>
    <x v="11"/>
    <x v="0"/>
    <x v="0"/>
  </r>
  <r>
    <x v="788"/>
    <x v="141"/>
    <x v="352"/>
    <x v="150"/>
    <x v="775"/>
    <x v="3"/>
    <x v="0"/>
    <x v="5"/>
    <x v="0"/>
    <x v="4"/>
    <x v="10"/>
    <x v="0"/>
    <x v="0"/>
    <x v="0"/>
    <x v="0"/>
    <x v="13"/>
    <x v="0"/>
    <x v="0"/>
  </r>
  <r>
    <x v="789"/>
    <x v="142"/>
    <x v="611"/>
    <x v="69"/>
    <x v="776"/>
    <x v="4"/>
    <x v="0"/>
    <x v="8"/>
    <x v="0"/>
    <x v="1"/>
    <x v="22"/>
    <x v="0"/>
    <x v="0"/>
    <x v="0"/>
    <x v="0"/>
    <x v="19"/>
    <x v="0"/>
    <x v="0"/>
  </r>
  <r>
    <x v="790"/>
    <x v="142"/>
    <x v="29"/>
    <x v="110"/>
    <x v="777"/>
    <x v="3"/>
    <x v="1"/>
    <x v="5"/>
    <x v="0"/>
    <x v="0"/>
    <x v="2"/>
    <x v="0"/>
    <x v="0"/>
    <x v="0"/>
    <x v="0"/>
    <x v="16"/>
    <x v="0"/>
    <x v="0"/>
  </r>
  <r>
    <x v="791"/>
    <x v="142"/>
    <x v="612"/>
    <x v="129"/>
    <x v="778"/>
    <x v="1"/>
    <x v="2"/>
    <x v="8"/>
    <x v="0"/>
    <x v="2"/>
    <x v="30"/>
    <x v="0"/>
    <x v="0"/>
    <x v="0"/>
    <x v="0"/>
    <x v="18"/>
    <x v="0"/>
    <x v="1"/>
  </r>
  <r>
    <x v="792"/>
    <x v="142"/>
    <x v="613"/>
    <x v="49"/>
    <x v="779"/>
    <x v="1"/>
    <x v="0"/>
    <x v="1"/>
    <x v="0"/>
    <x v="4"/>
    <x v="13"/>
    <x v="0"/>
    <x v="0"/>
    <x v="0"/>
    <x v="0"/>
    <x v="2"/>
    <x v="0"/>
    <x v="0"/>
  </r>
  <r>
    <x v="793"/>
    <x v="142"/>
    <x v="577"/>
    <x v="149"/>
    <x v="780"/>
    <x v="3"/>
    <x v="2"/>
    <x v="6"/>
    <x v="0"/>
    <x v="2"/>
    <x v="14"/>
    <x v="0"/>
    <x v="0"/>
    <x v="0"/>
    <x v="0"/>
    <x v="7"/>
    <x v="0"/>
    <x v="0"/>
  </r>
  <r>
    <x v="794"/>
    <x v="143"/>
    <x v="302"/>
    <x v="191"/>
    <x v="781"/>
    <x v="4"/>
    <x v="1"/>
    <x v="0"/>
    <x v="2"/>
    <x v="4"/>
    <x v="6"/>
    <x v="0"/>
    <x v="0"/>
    <x v="0"/>
    <x v="0"/>
    <x v="2"/>
    <x v="0"/>
    <x v="0"/>
  </r>
  <r>
    <x v="795"/>
    <x v="143"/>
    <x v="614"/>
    <x v="111"/>
    <x v="782"/>
    <x v="3"/>
    <x v="0"/>
    <x v="5"/>
    <x v="0"/>
    <x v="0"/>
    <x v="25"/>
    <x v="0"/>
    <x v="0"/>
    <x v="0"/>
    <x v="0"/>
    <x v="19"/>
    <x v="0"/>
    <x v="0"/>
  </r>
  <r>
    <x v="796"/>
    <x v="143"/>
    <x v="615"/>
    <x v="110"/>
    <x v="783"/>
    <x v="2"/>
    <x v="3"/>
    <x v="0"/>
    <x v="0"/>
    <x v="5"/>
    <x v="33"/>
    <x v="0"/>
    <x v="0"/>
    <x v="0"/>
    <x v="0"/>
    <x v="5"/>
    <x v="0"/>
    <x v="0"/>
  </r>
  <r>
    <x v="797"/>
    <x v="143"/>
    <x v="440"/>
    <x v="122"/>
    <x v="784"/>
    <x v="0"/>
    <x v="0"/>
    <x v="5"/>
    <x v="2"/>
    <x v="4"/>
    <x v="46"/>
    <x v="0"/>
    <x v="0"/>
    <x v="0"/>
    <x v="0"/>
    <x v="22"/>
    <x v="0"/>
    <x v="0"/>
  </r>
  <r>
    <x v="798"/>
    <x v="143"/>
    <x v="616"/>
    <x v="1"/>
    <x v="785"/>
    <x v="1"/>
    <x v="1"/>
    <x v="1"/>
    <x v="0"/>
    <x v="5"/>
    <x v="38"/>
    <x v="0"/>
    <x v="0"/>
    <x v="0"/>
    <x v="0"/>
    <x v="12"/>
    <x v="0"/>
    <x v="0"/>
  </r>
  <r>
    <x v="799"/>
    <x v="143"/>
    <x v="235"/>
    <x v="167"/>
    <x v="786"/>
    <x v="0"/>
    <x v="2"/>
    <x v="8"/>
    <x v="2"/>
    <x v="4"/>
    <x v="17"/>
    <x v="3"/>
    <x v="1"/>
    <x v="0"/>
    <x v="0"/>
    <x v="3"/>
    <x v="0"/>
    <x v="1"/>
  </r>
  <r>
    <x v="800"/>
    <x v="144"/>
    <x v="421"/>
    <x v="37"/>
    <x v="787"/>
    <x v="3"/>
    <x v="0"/>
    <x v="4"/>
    <x v="0"/>
    <x v="3"/>
    <x v="15"/>
    <x v="0"/>
    <x v="0"/>
    <x v="0"/>
    <x v="0"/>
    <x v="6"/>
    <x v="0"/>
    <x v="0"/>
  </r>
  <r>
    <x v="801"/>
    <x v="144"/>
    <x v="109"/>
    <x v="158"/>
    <x v="788"/>
    <x v="1"/>
    <x v="0"/>
    <x v="6"/>
    <x v="2"/>
    <x v="0"/>
    <x v="29"/>
    <x v="0"/>
    <x v="0"/>
    <x v="0"/>
    <x v="0"/>
    <x v="0"/>
    <x v="0"/>
    <x v="0"/>
  </r>
  <r>
    <x v="802"/>
    <x v="144"/>
    <x v="617"/>
    <x v="152"/>
    <x v="789"/>
    <x v="3"/>
    <x v="1"/>
    <x v="5"/>
    <x v="0"/>
    <x v="1"/>
    <x v="10"/>
    <x v="0"/>
    <x v="0"/>
    <x v="0"/>
    <x v="0"/>
    <x v="14"/>
    <x v="0"/>
    <x v="0"/>
  </r>
  <r>
    <x v="803"/>
    <x v="144"/>
    <x v="616"/>
    <x v="41"/>
    <x v="790"/>
    <x v="2"/>
    <x v="4"/>
    <x v="5"/>
    <x v="2"/>
    <x v="5"/>
    <x v="29"/>
    <x v="1"/>
    <x v="1"/>
    <x v="0"/>
    <x v="0"/>
    <x v="12"/>
    <x v="0"/>
    <x v="0"/>
  </r>
  <r>
    <x v="804"/>
    <x v="144"/>
    <x v="618"/>
    <x v="179"/>
    <x v="791"/>
    <x v="0"/>
    <x v="2"/>
    <x v="1"/>
    <x v="2"/>
    <x v="1"/>
    <x v="47"/>
    <x v="3"/>
    <x v="1"/>
    <x v="0"/>
    <x v="0"/>
    <x v="14"/>
    <x v="0"/>
    <x v="0"/>
  </r>
  <r>
    <x v="805"/>
    <x v="145"/>
    <x v="48"/>
    <x v="167"/>
    <x v="792"/>
    <x v="3"/>
    <x v="2"/>
    <x v="6"/>
    <x v="0"/>
    <x v="0"/>
    <x v="40"/>
    <x v="0"/>
    <x v="0"/>
    <x v="0"/>
    <x v="0"/>
    <x v="21"/>
    <x v="0"/>
    <x v="0"/>
  </r>
  <r>
    <x v="806"/>
    <x v="145"/>
    <x v="619"/>
    <x v="60"/>
    <x v="793"/>
    <x v="2"/>
    <x v="2"/>
    <x v="8"/>
    <x v="0"/>
    <x v="6"/>
    <x v="15"/>
    <x v="3"/>
    <x v="1"/>
    <x v="0"/>
    <x v="0"/>
    <x v="12"/>
    <x v="0"/>
    <x v="0"/>
  </r>
  <r>
    <x v="807"/>
    <x v="145"/>
    <x v="620"/>
    <x v="116"/>
    <x v="794"/>
    <x v="3"/>
    <x v="0"/>
    <x v="8"/>
    <x v="0"/>
    <x v="1"/>
    <x v="6"/>
    <x v="0"/>
    <x v="0"/>
    <x v="0"/>
    <x v="0"/>
    <x v="21"/>
    <x v="0"/>
    <x v="0"/>
  </r>
  <r>
    <x v="808"/>
    <x v="145"/>
    <x v="360"/>
    <x v="122"/>
    <x v="795"/>
    <x v="1"/>
    <x v="1"/>
    <x v="5"/>
    <x v="0"/>
    <x v="0"/>
    <x v="30"/>
    <x v="0"/>
    <x v="0"/>
    <x v="0"/>
    <x v="0"/>
    <x v="2"/>
    <x v="0"/>
    <x v="0"/>
  </r>
  <r>
    <x v="809"/>
    <x v="145"/>
    <x v="569"/>
    <x v="147"/>
    <x v="796"/>
    <x v="1"/>
    <x v="3"/>
    <x v="4"/>
    <x v="0"/>
    <x v="1"/>
    <x v="39"/>
    <x v="0"/>
    <x v="0"/>
    <x v="0"/>
    <x v="0"/>
    <x v="6"/>
    <x v="0"/>
    <x v="0"/>
  </r>
  <r>
    <x v="810"/>
    <x v="145"/>
    <x v="621"/>
    <x v="118"/>
    <x v="797"/>
    <x v="0"/>
    <x v="0"/>
    <x v="4"/>
    <x v="0"/>
    <x v="5"/>
    <x v="8"/>
    <x v="1"/>
    <x v="1"/>
    <x v="0"/>
    <x v="0"/>
    <x v="12"/>
    <x v="0"/>
    <x v="0"/>
  </r>
  <r>
    <x v="811"/>
    <x v="146"/>
    <x v="622"/>
    <x v="140"/>
    <x v="798"/>
    <x v="2"/>
    <x v="0"/>
    <x v="0"/>
    <x v="0"/>
    <x v="3"/>
    <x v="35"/>
    <x v="0"/>
    <x v="0"/>
    <x v="0"/>
    <x v="0"/>
    <x v="1"/>
    <x v="0"/>
    <x v="0"/>
  </r>
  <r>
    <x v="812"/>
    <x v="146"/>
    <x v="157"/>
    <x v="74"/>
    <x v="799"/>
    <x v="3"/>
    <x v="0"/>
    <x v="6"/>
    <x v="0"/>
    <x v="1"/>
    <x v="41"/>
    <x v="0"/>
    <x v="0"/>
    <x v="0"/>
    <x v="0"/>
    <x v="14"/>
    <x v="0"/>
    <x v="0"/>
  </r>
  <r>
    <x v="813"/>
    <x v="146"/>
    <x v="198"/>
    <x v="175"/>
    <x v="215"/>
    <x v="3"/>
    <x v="1"/>
    <x v="6"/>
    <x v="0"/>
    <x v="5"/>
    <x v="36"/>
    <x v="0"/>
    <x v="0"/>
    <x v="0"/>
    <x v="0"/>
    <x v="15"/>
    <x v="0"/>
    <x v="0"/>
  </r>
  <r>
    <x v="814"/>
    <x v="146"/>
    <x v="623"/>
    <x v="144"/>
    <x v="800"/>
    <x v="3"/>
    <x v="4"/>
    <x v="8"/>
    <x v="0"/>
    <x v="4"/>
    <x v="33"/>
    <x v="0"/>
    <x v="0"/>
    <x v="0"/>
    <x v="0"/>
    <x v="8"/>
    <x v="0"/>
    <x v="1"/>
  </r>
  <r>
    <x v="815"/>
    <x v="146"/>
    <x v="302"/>
    <x v="86"/>
    <x v="801"/>
    <x v="3"/>
    <x v="0"/>
    <x v="0"/>
    <x v="0"/>
    <x v="0"/>
    <x v="47"/>
    <x v="0"/>
    <x v="0"/>
    <x v="0"/>
    <x v="0"/>
    <x v="2"/>
    <x v="0"/>
    <x v="0"/>
  </r>
  <r>
    <x v="816"/>
    <x v="147"/>
    <x v="624"/>
    <x v="66"/>
    <x v="802"/>
    <x v="3"/>
    <x v="1"/>
    <x v="1"/>
    <x v="0"/>
    <x v="2"/>
    <x v="26"/>
    <x v="2"/>
    <x v="0"/>
    <x v="0"/>
    <x v="0"/>
    <x v="7"/>
    <x v="0"/>
    <x v="0"/>
  </r>
  <r>
    <x v="817"/>
    <x v="147"/>
    <x v="625"/>
    <x v="145"/>
    <x v="803"/>
    <x v="4"/>
    <x v="0"/>
    <x v="6"/>
    <x v="0"/>
    <x v="6"/>
    <x v="19"/>
    <x v="0"/>
    <x v="0"/>
    <x v="0"/>
    <x v="0"/>
    <x v="17"/>
    <x v="0"/>
    <x v="0"/>
  </r>
  <r>
    <x v="818"/>
    <x v="147"/>
    <x v="569"/>
    <x v="9"/>
    <x v="804"/>
    <x v="1"/>
    <x v="4"/>
    <x v="0"/>
    <x v="0"/>
    <x v="2"/>
    <x v="8"/>
    <x v="0"/>
    <x v="0"/>
    <x v="0"/>
    <x v="0"/>
    <x v="6"/>
    <x v="0"/>
    <x v="0"/>
  </r>
  <r>
    <x v="819"/>
    <x v="147"/>
    <x v="464"/>
    <x v="148"/>
    <x v="805"/>
    <x v="1"/>
    <x v="0"/>
    <x v="0"/>
    <x v="0"/>
    <x v="0"/>
    <x v="4"/>
    <x v="0"/>
    <x v="0"/>
    <x v="0"/>
    <x v="0"/>
    <x v="16"/>
    <x v="0"/>
    <x v="0"/>
  </r>
  <r>
    <x v="820"/>
    <x v="147"/>
    <x v="626"/>
    <x v="23"/>
    <x v="806"/>
    <x v="3"/>
    <x v="1"/>
    <x v="5"/>
    <x v="0"/>
    <x v="3"/>
    <x v="22"/>
    <x v="0"/>
    <x v="0"/>
    <x v="0"/>
    <x v="0"/>
    <x v="19"/>
    <x v="0"/>
    <x v="0"/>
  </r>
  <r>
    <x v="821"/>
    <x v="147"/>
    <x v="68"/>
    <x v="174"/>
    <x v="807"/>
    <x v="4"/>
    <x v="2"/>
    <x v="8"/>
    <x v="0"/>
    <x v="1"/>
    <x v="13"/>
    <x v="3"/>
    <x v="1"/>
    <x v="0"/>
    <x v="0"/>
    <x v="9"/>
    <x v="0"/>
    <x v="0"/>
  </r>
  <r>
    <x v="822"/>
    <x v="148"/>
    <x v="627"/>
    <x v="143"/>
    <x v="808"/>
    <x v="2"/>
    <x v="2"/>
    <x v="0"/>
    <x v="2"/>
    <x v="3"/>
    <x v="44"/>
    <x v="0"/>
    <x v="0"/>
    <x v="0"/>
    <x v="0"/>
    <x v="17"/>
    <x v="0"/>
    <x v="0"/>
  </r>
  <r>
    <x v="823"/>
    <x v="148"/>
    <x v="628"/>
    <x v="173"/>
    <x v="809"/>
    <x v="3"/>
    <x v="1"/>
    <x v="3"/>
    <x v="0"/>
    <x v="2"/>
    <x v="38"/>
    <x v="0"/>
    <x v="0"/>
    <x v="0"/>
    <x v="0"/>
    <x v="8"/>
    <x v="0"/>
    <x v="0"/>
  </r>
  <r>
    <x v="824"/>
    <x v="148"/>
    <x v="629"/>
    <x v="61"/>
    <x v="810"/>
    <x v="2"/>
    <x v="1"/>
    <x v="4"/>
    <x v="0"/>
    <x v="6"/>
    <x v="6"/>
    <x v="0"/>
    <x v="1"/>
    <x v="0"/>
    <x v="0"/>
    <x v="16"/>
    <x v="0"/>
    <x v="0"/>
  </r>
  <r>
    <x v="825"/>
    <x v="148"/>
    <x v="630"/>
    <x v="63"/>
    <x v="811"/>
    <x v="1"/>
    <x v="1"/>
    <x v="3"/>
    <x v="0"/>
    <x v="5"/>
    <x v="38"/>
    <x v="0"/>
    <x v="0"/>
    <x v="0"/>
    <x v="0"/>
    <x v="17"/>
    <x v="0"/>
    <x v="0"/>
  </r>
  <r>
    <x v="826"/>
    <x v="148"/>
    <x v="100"/>
    <x v="126"/>
    <x v="812"/>
    <x v="3"/>
    <x v="0"/>
    <x v="4"/>
    <x v="2"/>
    <x v="6"/>
    <x v="45"/>
    <x v="0"/>
    <x v="0"/>
    <x v="0"/>
    <x v="0"/>
    <x v="16"/>
    <x v="0"/>
    <x v="0"/>
  </r>
  <r>
    <x v="827"/>
    <x v="149"/>
    <x v="318"/>
    <x v="6"/>
    <x v="813"/>
    <x v="1"/>
    <x v="0"/>
    <x v="2"/>
    <x v="1"/>
    <x v="0"/>
    <x v="33"/>
    <x v="0"/>
    <x v="0"/>
    <x v="0"/>
    <x v="0"/>
    <x v="1"/>
    <x v="0"/>
    <x v="0"/>
  </r>
  <r>
    <x v="828"/>
    <x v="149"/>
    <x v="176"/>
    <x v="192"/>
    <x v="814"/>
    <x v="1"/>
    <x v="1"/>
    <x v="8"/>
    <x v="0"/>
    <x v="0"/>
    <x v="27"/>
    <x v="0"/>
    <x v="0"/>
    <x v="0"/>
    <x v="0"/>
    <x v="8"/>
    <x v="0"/>
    <x v="1"/>
  </r>
  <r>
    <x v="829"/>
    <x v="149"/>
    <x v="631"/>
    <x v="193"/>
    <x v="815"/>
    <x v="3"/>
    <x v="0"/>
    <x v="5"/>
    <x v="0"/>
    <x v="3"/>
    <x v="0"/>
    <x v="2"/>
    <x v="0"/>
    <x v="0"/>
    <x v="0"/>
    <x v="19"/>
    <x v="0"/>
    <x v="0"/>
  </r>
  <r>
    <x v="830"/>
    <x v="149"/>
    <x v="632"/>
    <x v="59"/>
    <x v="816"/>
    <x v="0"/>
    <x v="0"/>
    <x v="1"/>
    <x v="2"/>
    <x v="5"/>
    <x v="24"/>
    <x v="0"/>
    <x v="0"/>
    <x v="0"/>
    <x v="0"/>
    <x v="12"/>
    <x v="0"/>
    <x v="0"/>
  </r>
  <r>
    <x v="831"/>
    <x v="149"/>
    <x v="633"/>
    <x v="61"/>
    <x v="817"/>
    <x v="4"/>
    <x v="2"/>
    <x v="3"/>
    <x v="0"/>
    <x v="3"/>
    <x v="4"/>
    <x v="0"/>
    <x v="0"/>
    <x v="0"/>
    <x v="0"/>
    <x v="14"/>
    <x v="0"/>
    <x v="0"/>
  </r>
  <r>
    <x v="832"/>
    <x v="149"/>
    <x v="598"/>
    <x v="82"/>
    <x v="818"/>
    <x v="2"/>
    <x v="4"/>
    <x v="3"/>
    <x v="0"/>
    <x v="1"/>
    <x v="25"/>
    <x v="0"/>
    <x v="0"/>
    <x v="0"/>
    <x v="0"/>
    <x v="5"/>
    <x v="0"/>
    <x v="0"/>
  </r>
  <r>
    <x v="833"/>
    <x v="150"/>
    <x v="632"/>
    <x v="20"/>
    <x v="819"/>
    <x v="1"/>
    <x v="2"/>
    <x v="2"/>
    <x v="0"/>
    <x v="4"/>
    <x v="7"/>
    <x v="3"/>
    <x v="1"/>
    <x v="0"/>
    <x v="0"/>
    <x v="12"/>
    <x v="0"/>
    <x v="0"/>
  </r>
  <r>
    <x v="834"/>
    <x v="150"/>
    <x v="374"/>
    <x v="146"/>
    <x v="820"/>
    <x v="1"/>
    <x v="0"/>
    <x v="4"/>
    <x v="0"/>
    <x v="5"/>
    <x v="2"/>
    <x v="0"/>
    <x v="0"/>
    <x v="0"/>
    <x v="0"/>
    <x v="23"/>
    <x v="0"/>
    <x v="0"/>
  </r>
  <r>
    <x v="835"/>
    <x v="150"/>
    <x v="634"/>
    <x v="1"/>
    <x v="596"/>
    <x v="2"/>
    <x v="0"/>
    <x v="5"/>
    <x v="1"/>
    <x v="4"/>
    <x v="41"/>
    <x v="0"/>
    <x v="0"/>
    <x v="0"/>
    <x v="0"/>
    <x v="3"/>
    <x v="0"/>
    <x v="0"/>
  </r>
  <r>
    <x v="836"/>
    <x v="150"/>
    <x v="161"/>
    <x v="169"/>
    <x v="821"/>
    <x v="1"/>
    <x v="4"/>
    <x v="2"/>
    <x v="1"/>
    <x v="6"/>
    <x v="42"/>
    <x v="0"/>
    <x v="0"/>
    <x v="0"/>
    <x v="0"/>
    <x v="3"/>
    <x v="0"/>
    <x v="0"/>
  </r>
  <r>
    <x v="837"/>
    <x v="150"/>
    <x v="274"/>
    <x v="29"/>
    <x v="822"/>
    <x v="3"/>
    <x v="0"/>
    <x v="8"/>
    <x v="2"/>
    <x v="1"/>
    <x v="45"/>
    <x v="0"/>
    <x v="0"/>
    <x v="0"/>
    <x v="0"/>
    <x v="18"/>
    <x v="0"/>
    <x v="0"/>
  </r>
  <r>
    <x v="838"/>
    <x v="150"/>
    <x v="635"/>
    <x v="69"/>
    <x v="823"/>
    <x v="1"/>
    <x v="0"/>
    <x v="5"/>
    <x v="0"/>
    <x v="4"/>
    <x v="7"/>
    <x v="2"/>
    <x v="0"/>
    <x v="0"/>
    <x v="0"/>
    <x v="3"/>
    <x v="0"/>
    <x v="0"/>
  </r>
  <r>
    <x v="839"/>
    <x v="151"/>
    <x v="636"/>
    <x v="187"/>
    <x v="824"/>
    <x v="4"/>
    <x v="2"/>
    <x v="8"/>
    <x v="2"/>
    <x v="2"/>
    <x v="23"/>
    <x v="0"/>
    <x v="0"/>
    <x v="0"/>
    <x v="0"/>
    <x v="6"/>
    <x v="0"/>
    <x v="0"/>
  </r>
  <r>
    <x v="840"/>
    <x v="151"/>
    <x v="637"/>
    <x v="46"/>
    <x v="825"/>
    <x v="1"/>
    <x v="2"/>
    <x v="0"/>
    <x v="0"/>
    <x v="6"/>
    <x v="18"/>
    <x v="0"/>
    <x v="0"/>
    <x v="0"/>
    <x v="0"/>
    <x v="2"/>
    <x v="0"/>
    <x v="0"/>
  </r>
  <r>
    <x v="841"/>
    <x v="151"/>
    <x v="638"/>
    <x v="108"/>
    <x v="826"/>
    <x v="3"/>
    <x v="2"/>
    <x v="6"/>
    <x v="0"/>
    <x v="4"/>
    <x v="4"/>
    <x v="0"/>
    <x v="0"/>
    <x v="0"/>
    <x v="0"/>
    <x v="7"/>
    <x v="0"/>
    <x v="0"/>
  </r>
  <r>
    <x v="842"/>
    <x v="151"/>
    <x v="356"/>
    <x v="51"/>
    <x v="827"/>
    <x v="2"/>
    <x v="0"/>
    <x v="0"/>
    <x v="2"/>
    <x v="1"/>
    <x v="43"/>
    <x v="0"/>
    <x v="0"/>
    <x v="0"/>
    <x v="0"/>
    <x v="7"/>
    <x v="0"/>
    <x v="1"/>
  </r>
  <r>
    <x v="843"/>
    <x v="151"/>
    <x v="639"/>
    <x v="43"/>
    <x v="828"/>
    <x v="3"/>
    <x v="0"/>
    <x v="8"/>
    <x v="0"/>
    <x v="4"/>
    <x v="47"/>
    <x v="0"/>
    <x v="0"/>
    <x v="0"/>
    <x v="0"/>
    <x v="18"/>
    <x v="0"/>
    <x v="0"/>
  </r>
  <r>
    <x v="844"/>
    <x v="152"/>
    <x v="161"/>
    <x v="121"/>
    <x v="829"/>
    <x v="3"/>
    <x v="4"/>
    <x v="3"/>
    <x v="0"/>
    <x v="0"/>
    <x v="18"/>
    <x v="0"/>
    <x v="0"/>
    <x v="0"/>
    <x v="0"/>
    <x v="3"/>
    <x v="0"/>
    <x v="0"/>
  </r>
  <r>
    <x v="845"/>
    <x v="152"/>
    <x v="324"/>
    <x v="2"/>
    <x v="830"/>
    <x v="3"/>
    <x v="0"/>
    <x v="5"/>
    <x v="0"/>
    <x v="3"/>
    <x v="7"/>
    <x v="0"/>
    <x v="0"/>
    <x v="0"/>
    <x v="0"/>
    <x v="11"/>
    <x v="0"/>
    <x v="0"/>
  </r>
  <r>
    <x v="846"/>
    <x v="152"/>
    <x v="640"/>
    <x v="4"/>
    <x v="831"/>
    <x v="3"/>
    <x v="2"/>
    <x v="4"/>
    <x v="2"/>
    <x v="2"/>
    <x v="30"/>
    <x v="0"/>
    <x v="0"/>
    <x v="0"/>
    <x v="0"/>
    <x v="18"/>
    <x v="0"/>
    <x v="0"/>
  </r>
  <r>
    <x v="847"/>
    <x v="152"/>
    <x v="230"/>
    <x v="90"/>
    <x v="832"/>
    <x v="2"/>
    <x v="2"/>
    <x v="1"/>
    <x v="0"/>
    <x v="0"/>
    <x v="12"/>
    <x v="0"/>
    <x v="0"/>
    <x v="0"/>
    <x v="0"/>
    <x v="4"/>
    <x v="0"/>
    <x v="0"/>
  </r>
  <r>
    <x v="848"/>
    <x v="152"/>
    <x v="543"/>
    <x v="84"/>
    <x v="833"/>
    <x v="1"/>
    <x v="2"/>
    <x v="4"/>
    <x v="0"/>
    <x v="0"/>
    <x v="36"/>
    <x v="3"/>
    <x v="1"/>
    <x v="0"/>
    <x v="0"/>
    <x v="9"/>
    <x v="0"/>
    <x v="0"/>
  </r>
  <r>
    <x v="849"/>
    <x v="152"/>
    <x v="641"/>
    <x v="17"/>
    <x v="834"/>
    <x v="3"/>
    <x v="0"/>
    <x v="5"/>
    <x v="0"/>
    <x v="1"/>
    <x v="32"/>
    <x v="0"/>
    <x v="0"/>
    <x v="0"/>
    <x v="0"/>
    <x v="4"/>
    <x v="0"/>
    <x v="0"/>
  </r>
  <r>
    <x v="850"/>
    <x v="153"/>
    <x v="642"/>
    <x v="122"/>
    <x v="835"/>
    <x v="4"/>
    <x v="0"/>
    <x v="0"/>
    <x v="2"/>
    <x v="3"/>
    <x v="9"/>
    <x v="0"/>
    <x v="1"/>
    <x v="0"/>
    <x v="0"/>
    <x v="9"/>
    <x v="0"/>
    <x v="0"/>
  </r>
  <r>
    <x v="851"/>
    <x v="153"/>
    <x v="643"/>
    <x v="102"/>
    <x v="836"/>
    <x v="4"/>
    <x v="2"/>
    <x v="1"/>
    <x v="2"/>
    <x v="3"/>
    <x v="7"/>
    <x v="0"/>
    <x v="0"/>
    <x v="0"/>
    <x v="0"/>
    <x v="8"/>
    <x v="0"/>
    <x v="0"/>
  </r>
  <r>
    <x v="852"/>
    <x v="153"/>
    <x v="644"/>
    <x v="107"/>
    <x v="837"/>
    <x v="4"/>
    <x v="3"/>
    <x v="5"/>
    <x v="0"/>
    <x v="5"/>
    <x v="46"/>
    <x v="0"/>
    <x v="0"/>
    <x v="0"/>
    <x v="0"/>
    <x v="10"/>
    <x v="0"/>
    <x v="0"/>
  </r>
  <r>
    <x v="853"/>
    <x v="153"/>
    <x v="645"/>
    <x v="88"/>
    <x v="838"/>
    <x v="3"/>
    <x v="4"/>
    <x v="8"/>
    <x v="0"/>
    <x v="6"/>
    <x v="7"/>
    <x v="0"/>
    <x v="0"/>
    <x v="0"/>
    <x v="0"/>
    <x v="10"/>
    <x v="0"/>
    <x v="0"/>
  </r>
  <r>
    <x v="854"/>
    <x v="153"/>
    <x v="646"/>
    <x v="196"/>
    <x v="839"/>
    <x v="1"/>
    <x v="0"/>
    <x v="3"/>
    <x v="0"/>
    <x v="2"/>
    <x v="9"/>
    <x v="0"/>
    <x v="0"/>
    <x v="0"/>
    <x v="0"/>
    <x v="21"/>
    <x v="0"/>
    <x v="0"/>
  </r>
  <r>
    <x v="855"/>
    <x v="154"/>
    <x v="377"/>
    <x v="19"/>
    <x v="840"/>
    <x v="0"/>
    <x v="0"/>
    <x v="4"/>
    <x v="1"/>
    <x v="6"/>
    <x v="27"/>
    <x v="0"/>
    <x v="0"/>
    <x v="0"/>
    <x v="0"/>
    <x v="6"/>
    <x v="0"/>
    <x v="0"/>
  </r>
  <r>
    <x v="856"/>
    <x v="154"/>
    <x v="421"/>
    <x v="178"/>
    <x v="841"/>
    <x v="2"/>
    <x v="4"/>
    <x v="8"/>
    <x v="0"/>
    <x v="1"/>
    <x v="21"/>
    <x v="0"/>
    <x v="0"/>
    <x v="0"/>
    <x v="0"/>
    <x v="6"/>
    <x v="0"/>
    <x v="0"/>
  </r>
  <r>
    <x v="857"/>
    <x v="154"/>
    <x v="647"/>
    <x v="101"/>
    <x v="842"/>
    <x v="3"/>
    <x v="2"/>
    <x v="1"/>
    <x v="1"/>
    <x v="2"/>
    <x v="23"/>
    <x v="0"/>
    <x v="0"/>
    <x v="0"/>
    <x v="0"/>
    <x v="5"/>
    <x v="0"/>
    <x v="0"/>
  </r>
  <r>
    <x v="858"/>
    <x v="154"/>
    <x v="648"/>
    <x v="64"/>
    <x v="843"/>
    <x v="3"/>
    <x v="4"/>
    <x v="1"/>
    <x v="0"/>
    <x v="5"/>
    <x v="17"/>
    <x v="0"/>
    <x v="0"/>
    <x v="0"/>
    <x v="0"/>
    <x v="19"/>
    <x v="0"/>
    <x v="0"/>
  </r>
  <r>
    <x v="859"/>
    <x v="154"/>
    <x v="574"/>
    <x v="193"/>
    <x v="844"/>
    <x v="1"/>
    <x v="0"/>
    <x v="4"/>
    <x v="2"/>
    <x v="4"/>
    <x v="47"/>
    <x v="0"/>
    <x v="0"/>
    <x v="0"/>
    <x v="0"/>
    <x v="21"/>
    <x v="0"/>
    <x v="0"/>
  </r>
  <r>
    <x v="860"/>
    <x v="154"/>
    <x v="649"/>
    <x v="172"/>
    <x v="845"/>
    <x v="4"/>
    <x v="2"/>
    <x v="8"/>
    <x v="2"/>
    <x v="0"/>
    <x v="43"/>
    <x v="0"/>
    <x v="0"/>
    <x v="0"/>
    <x v="0"/>
    <x v="17"/>
    <x v="0"/>
    <x v="0"/>
  </r>
  <r>
    <x v="861"/>
    <x v="155"/>
    <x v="395"/>
    <x v="187"/>
    <x v="846"/>
    <x v="1"/>
    <x v="2"/>
    <x v="2"/>
    <x v="0"/>
    <x v="2"/>
    <x v="39"/>
    <x v="0"/>
    <x v="0"/>
    <x v="0"/>
    <x v="0"/>
    <x v="11"/>
    <x v="0"/>
    <x v="0"/>
  </r>
  <r>
    <x v="862"/>
    <x v="155"/>
    <x v="582"/>
    <x v="196"/>
    <x v="847"/>
    <x v="1"/>
    <x v="2"/>
    <x v="8"/>
    <x v="1"/>
    <x v="6"/>
    <x v="45"/>
    <x v="0"/>
    <x v="0"/>
    <x v="0"/>
    <x v="0"/>
    <x v="5"/>
    <x v="0"/>
    <x v="0"/>
  </r>
  <r>
    <x v="863"/>
    <x v="155"/>
    <x v="591"/>
    <x v="80"/>
    <x v="848"/>
    <x v="3"/>
    <x v="1"/>
    <x v="1"/>
    <x v="0"/>
    <x v="0"/>
    <x v="2"/>
    <x v="0"/>
    <x v="1"/>
    <x v="0"/>
    <x v="0"/>
    <x v="14"/>
    <x v="0"/>
    <x v="0"/>
  </r>
  <r>
    <x v="864"/>
    <x v="155"/>
    <x v="650"/>
    <x v="187"/>
    <x v="849"/>
    <x v="2"/>
    <x v="0"/>
    <x v="8"/>
    <x v="0"/>
    <x v="1"/>
    <x v="30"/>
    <x v="0"/>
    <x v="0"/>
    <x v="0"/>
    <x v="0"/>
    <x v="15"/>
    <x v="0"/>
    <x v="0"/>
  </r>
  <r>
    <x v="865"/>
    <x v="155"/>
    <x v="611"/>
    <x v="197"/>
    <x v="850"/>
    <x v="4"/>
    <x v="2"/>
    <x v="3"/>
    <x v="0"/>
    <x v="6"/>
    <x v="20"/>
    <x v="0"/>
    <x v="1"/>
    <x v="0"/>
    <x v="0"/>
    <x v="19"/>
    <x v="0"/>
    <x v="0"/>
  </r>
  <r>
    <x v="866"/>
    <x v="156"/>
    <x v="651"/>
    <x v="28"/>
    <x v="851"/>
    <x v="3"/>
    <x v="0"/>
    <x v="5"/>
    <x v="2"/>
    <x v="4"/>
    <x v="2"/>
    <x v="0"/>
    <x v="0"/>
    <x v="0"/>
    <x v="0"/>
    <x v="20"/>
    <x v="0"/>
    <x v="0"/>
  </r>
  <r>
    <x v="867"/>
    <x v="156"/>
    <x v="536"/>
    <x v="119"/>
    <x v="852"/>
    <x v="2"/>
    <x v="1"/>
    <x v="0"/>
    <x v="0"/>
    <x v="1"/>
    <x v="47"/>
    <x v="0"/>
    <x v="0"/>
    <x v="0"/>
    <x v="0"/>
    <x v="13"/>
    <x v="0"/>
    <x v="0"/>
  </r>
  <r>
    <x v="868"/>
    <x v="156"/>
    <x v="652"/>
    <x v="54"/>
    <x v="853"/>
    <x v="0"/>
    <x v="4"/>
    <x v="3"/>
    <x v="0"/>
    <x v="4"/>
    <x v="2"/>
    <x v="2"/>
    <x v="0"/>
    <x v="0"/>
    <x v="0"/>
    <x v="22"/>
    <x v="0"/>
    <x v="0"/>
  </r>
  <r>
    <x v="869"/>
    <x v="156"/>
    <x v="653"/>
    <x v="145"/>
    <x v="854"/>
    <x v="3"/>
    <x v="1"/>
    <x v="2"/>
    <x v="0"/>
    <x v="4"/>
    <x v="44"/>
    <x v="0"/>
    <x v="0"/>
    <x v="0"/>
    <x v="0"/>
    <x v="12"/>
    <x v="0"/>
    <x v="1"/>
  </r>
  <r>
    <x v="870"/>
    <x v="156"/>
    <x v="464"/>
    <x v="171"/>
    <x v="855"/>
    <x v="1"/>
    <x v="3"/>
    <x v="6"/>
    <x v="0"/>
    <x v="0"/>
    <x v="42"/>
    <x v="0"/>
    <x v="0"/>
    <x v="0"/>
    <x v="0"/>
    <x v="16"/>
    <x v="0"/>
    <x v="0"/>
  </r>
  <r>
    <x v="871"/>
    <x v="156"/>
    <x v="654"/>
    <x v="72"/>
    <x v="856"/>
    <x v="3"/>
    <x v="0"/>
    <x v="5"/>
    <x v="0"/>
    <x v="1"/>
    <x v="10"/>
    <x v="0"/>
    <x v="0"/>
    <x v="0"/>
    <x v="0"/>
    <x v="22"/>
    <x v="0"/>
    <x v="0"/>
  </r>
  <r>
    <x v="872"/>
    <x v="157"/>
    <x v="583"/>
    <x v="122"/>
    <x v="857"/>
    <x v="2"/>
    <x v="2"/>
    <x v="0"/>
    <x v="0"/>
    <x v="1"/>
    <x v="20"/>
    <x v="0"/>
    <x v="0"/>
    <x v="0"/>
    <x v="0"/>
    <x v="23"/>
    <x v="0"/>
    <x v="0"/>
  </r>
  <r>
    <x v="873"/>
    <x v="157"/>
    <x v="655"/>
    <x v="38"/>
    <x v="858"/>
    <x v="1"/>
    <x v="4"/>
    <x v="6"/>
    <x v="2"/>
    <x v="2"/>
    <x v="9"/>
    <x v="0"/>
    <x v="0"/>
    <x v="0"/>
    <x v="0"/>
    <x v="20"/>
    <x v="0"/>
    <x v="1"/>
  </r>
  <r>
    <x v="874"/>
    <x v="157"/>
    <x v="177"/>
    <x v="124"/>
    <x v="859"/>
    <x v="2"/>
    <x v="0"/>
    <x v="4"/>
    <x v="0"/>
    <x v="6"/>
    <x v="6"/>
    <x v="0"/>
    <x v="0"/>
    <x v="0"/>
    <x v="0"/>
    <x v="2"/>
    <x v="0"/>
    <x v="0"/>
  </r>
  <r>
    <x v="875"/>
    <x v="157"/>
    <x v="656"/>
    <x v="76"/>
    <x v="860"/>
    <x v="2"/>
    <x v="0"/>
    <x v="6"/>
    <x v="0"/>
    <x v="1"/>
    <x v="23"/>
    <x v="0"/>
    <x v="0"/>
    <x v="0"/>
    <x v="0"/>
    <x v="11"/>
    <x v="0"/>
    <x v="0"/>
  </r>
  <r>
    <x v="876"/>
    <x v="157"/>
    <x v="657"/>
    <x v="150"/>
    <x v="861"/>
    <x v="3"/>
    <x v="1"/>
    <x v="5"/>
    <x v="0"/>
    <x v="2"/>
    <x v="9"/>
    <x v="0"/>
    <x v="0"/>
    <x v="0"/>
    <x v="0"/>
    <x v="2"/>
    <x v="0"/>
    <x v="0"/>
  </r>
  <r>
    <x v="877"/>
    <x v="158"/>
    <x v="118"/>
    <x v="68"/>
    <x v="862"/>
    <x v="4"/>
    <x v="0"/>
    <x v="8"/>
    <x v="0"/>
    <x v="3"/>
    <x v="6"/>
    <x v="0"/>
    <x v="0"/>
    <x v="0"/>
    <x v="0"/>
    <x v="8"/>
    <x v="0"/>
    <x v="0"/>
  </r>
  <r>
    <x v="878"/>
    <x v="158"/>
    <x v="98"/>
    <x v="168"/>
    <x v="863"/>
    <x v="1"/>
    <x v="3"/>
    <x v="5"/>
    <x v="2"/>
    <x v="3"/>
    <x v="26"/>
    <x v="0"/>
    <x v="0"/>
    <x v="0"/>
    <x v="0"/>
    <x v="3"/>
    <x v="0"/>
    <x v="0"/>
  </r>
  <r>
    <x v="879"/>
    <x v="158"/>
    <x v="408"/>
    <x v="139"/>
    <x v="864"/>
    <x v="3"/>
    <x v="4"/>
    <x v="3"/>
    <x v="2"/>
    <x v="3"/>
    <x v="38"/>
    <x v="0"/>
    <x v="0"/>
    <x v="0"/>
    <x v="0"/>
    <x v="18"/>
    <x v="0"/>
    <x v="0"/>
  </r>
  <r>
    <x v="880"/>
    <x v="158"/>
    <x v="658"/>
    <x v="86"/>
    <x v="865"/>
    <x v="2"/>
    <x v="1"/>
    <x v="6"/>
    <x v="0"/>
    <x v="5"/>
    <x v="47"/>
    <x v="0"/>
    <x v="0"/>
    <x v="0"/>
    <x v="0"/>
    <x v="16"/>
    <x v="0"/>
    <x v="0"/>
  </r>
  <r>
    <x v="881"/>
    <x v="158"/>
    <x v="74"/>
    <x v="38"/>
    <x v="866"/>
    <x v="2"/>
    <x v="0"/>
    <x v="1"/>
    <x v="2"/>
    <x v="1"/>
    <x v="21"/>
    <x v="3"/>
    <x v="1"/>
    <x v="0"/>
    <x v="0"/>
    <x v="9"/>
    <x v="0"/>
    <x v="0"/>
  </r>
  <r>
    <x v="882"/>
    <x v="158"/>
    <x v="217"/>
    <x v="135"/>
    <x v="867"/>
    <x v="3"/>
    <x v="1"/>
    <x v="0"/>
    <x v="2"/>
    <x v="5"/>
    <x v="10"/>
    <x v="1"/>
    <x v="1"/>
    <x v="0"/>
    <x v="0"/>
    <x v="15"/>
    <x v="0"/>
    <x v="0"/>
  </r>
  <r>
    <x v="883"/>
    <x v="159"/>
    <x v="326"/>
    <x v="78"/>
    <x v="868"/>
    <x v="4"/>
    <x v="2"/>
    <x v="0"/>
    <x v="2"/>
    <x v="6"/>
    <x v="36"/>
    <x v="0"/>
    <x v="0"/>
    <x v="0"/>
    <x v="0"/>
    <x v="4"/>
    <x v="0"/>
    <x v="0"/>
  </r>
  <r>
    <x v="884"/>
    <x v="159"/>
    <x v="659"/>
    <x v="83"/>
    <x v="869"/>
    <x v="4"/>
    <x v="0"/>
    <x v="6"/>
    <x v="0"/>
    <x v="1"/>
    <x v="9"/>
    <x v="0"/>
    <x v="0"/>
    <x v="0"/>
    <x v="0"/>
    <x v="16"/>
    <x v="0"/>
    <x v="0"/>
  </r>
  <r>
    <x v="885"/>
    <x v="159"/>
    <x v="660"/>
    <x v="182"/>
    <x v="870"/>
    <x v="3"/>
    <x v="2"/>
    <x v="0"/>
    <x v="1"/>
    <x v="2"/>
    <x v="47"/>
    <x v="0"/>
    <x v="1"/>
    <x v="0"/>
    <x v="0"/>
    <x v="10"/>
    <x v="0"/>
    <x v="0"/>
  </r>
  <r>
    <x v="886"/>
    <x v="159"/>
    <x v="267"/>
    <x v="55"/>
    <x v="871"/>
    <x v="0"/>
    <x v="2"/>
    <x v="1"/>
    <x v="0"/>
    <x v="5"/>
    <x v="34"/>
    <x v="0"/>
    <x v="0"/>
    <x v="0"/>
    <x v="0"/>
    <x v="1"/>
    <x v="0"/>
    <x v="1"/>
  </r>
  <r>
    <x v="887"/>
    <x v="159"/>
    <x v="661"/>
    <x v="105"/>
    <x v="872"/>
    <x v="3"/>
    <x v="2"/>
    <x v="5"/>
    <x v="0"/>
    <x v="5"/>
    <x v="16"/>
    <x v="0"/>
    <x v="0"/>
    <x v="0"/>
    <x v="0"/>
    <x v="2"/>
    <x v="0"/>
    <x v="0"/>
  </r>
  <r>
    <x v="888"/>
    <x v="160"/>
    <x v="662"/>
    <x v="186"/>
    <x v="873"/>
    <x v="3"/>
    <x v="0"/>
    <x v="0"/>
    <x v="0"/>
    <x v="6"/>
    <x v="5"/>
    <x v="0"/>
    <x v="0"/>
    <x v="0"/>
    <x v="0"/>
    <x v="2"/>
    <x v="0"/>
    <x v="0"/>
  </r>
  <r>
    <x v="889"/>
    <x v="160"/>
    <x v="663"/>
    <x v="167"/>
    <x v="215"/>
    <x v="3"/>
    <x v="2"/>
    <x v="6"/>
    <x v="0"/>
    <x v="5"/>
    <x v="35"/>
    <x v="0"/>
    <x v="0"/>
    <x v="0"/>
    <x v="0"/>
    <x v="8"/>
    <x v="0"/>
    <x v="0"/>
  </r>
  <r>
    <x v="890"/>
    <x v="160"/>
    <x v="152"/>
    <x v="75"/>
    <x v="874"/>
    <x v="4"/>
    <x v="0"/>
    <x v="2"/>
    <x v="0"/>
    <x v="4"/>
    <x v="15"/>
    <x v="0"/>
    <x v="0"/>
    <x v="0"/>
    <x v="0"/>
    <x v="11"/>
    <x v="0"/>
    <x v="1"/>
  </r>
  <r>
    <x v="891"/>
    <x v="160"/>
    <x v="664"/>
    <x v="37"/>
    <x v="875"/>
    <x v="2"/>
    <x v="0"/>
    <x v="2"/>
    <x v="0"/>
    <x v="2"/>
    <x v="22"/>
    <x v="2"/>
    <x v="0"/>
    <x v="0"/>
    <x v="0"/>
    <x v="22"/>
    <x v="0"/>
    <x v="0"/>
  </r>
  <r>
    <x v="892"/>
    <x v="160"/>
    <x v="665"/>
    <x v="15"/>
    <x v="876"/>
    <x v="3"/>
    <x v="3"/>
    <x v="4"/>
    <x v="0"/>
    <x v="3"/>
    <x v="5"/>
    <x v="2"/>
    <x v="0"/>
    <x v="0"/>
    <x v="0"/>
    <x v="7"/>
    <x v="0"/>
    <x v="0"/>
  </r>
  <r>
    <x v="893"/>
    <x v="160"/>
    <x v="133"/>
    <x v="51"/>
    <x v="877"/>
    <x v="1"/>
    <x v="2"/>
    <x v="3"/>
    <x v="2"/>
    <x v="2"/>
    <x v="30"/>
    <x v="0"/>
    <x v="0"/>
    <x v="0"/>
    <x v="0"/>
    <x v="22"/>
    <x v="0"/>
    <x v="0"/>
  </r>
  <r>
    <x v="894"/>
    <x v="161"/>
    <x v="429"/>
    <x v="183"/>
    <x v="878"/>
    <x v="2"/>
    <x v="0"/>
    <x v="0"/>
    <x v="2"/>
    <x v="4"/>
    <x v="40"/>
    <x v="0"/>
    <x v="0"/>
    <x v="0"/>
    <x v="0"/>
    <x v="8"/>
    <x v="0"/>
    <x v="0"/>
  </r>
  <r>
    <x v="895"/>
    <x v="161"/>
    <x v="619"/>
    <x v="180"/>
    <x v="879"/>
    <x v="3"/>
    <x v="0"/>
    <x v="3"/>
    <x v="0"/>
    <x v="6"/>
    <x v="26"/>
    <x v="0"/>
    <x v="0"/>
    <x v="0"/>
    <x v="0"/>
    <x v="12"/>
    <x v="0"/>
    <x v="0"/>
  </r>
  <r>
    <x v="896"/>
    <x v="161"/>
    <x v="295"/>
    <x v="112"/>
    <x v="252"/>
    <x v="4"/>
    <x v="0"/>
    <x v="5"/>
    <x v="2"/>
    <x v="6"/>
    <x v="18"/>
    <x v="0"/>
    <x v="0"/>
    <x v="0"/>
    <x v="0"/>
    <x v="23"/>
    <x v="0"/>
    <x v="0"/>
  </r>
  <r>
    <x v="897"/>
    <x v="161"/>
    <x v="664"/>
    <x v="160"/>
    <x v="880"/>
    <x v="4"/>
    <x v="0"/>
    <x v="6"/>
    <x v="2"/>
    <x v="1"/>
    <x v="32"/>
    <x v="0"/>
    <x v="0"/>
    <x v="0"/>
    <x v="0"/>
    <x v="22"/>
    <x v="0"/>
    <x v="0"/>
  </r>
  <r>
    <x v="898"/>
    <x v="161"/>
    <x v="666"/>
    <x v="133"/>
    <x v="881"/>
    <x v="1"/>
    <x v="0"/>
    <x v="0"/>
    <x v="2"/>
    <x v="2"/>
    <x v="45"/>
    <x v="0"/>
    <x v="0"/>
    <x v="0"/>
    <x v="0"/>
    <x v="8"/>
    <x v="0"/>
    <x v="0"/>
  </r>
  <r>
    <x v="899"/>
    <x v="161"/>
    <x v="667"/>
    <x v="17"/>
    <x v="882"/>
    <x v="0"/>
    <x v="0"/>
    <x v="8"/>
    <x v="0"/>
    <x v="6"/>
    <x v="20"/>
    <x v="0"/>
    <x v="0"/>
    <x v="0"/>
    <x v="0"/>
    <x v="6"/>
    <x v="0"/>
    <x v="0"/>
  </r>
  <r>
    <x v="900"/>
    <x v="162"/>
    <x v="668"/>
    <x v="26"/>
    <x v="883"/>
    <x v="1"/>
    <x v="1"/>
    <x v="1"/>
    <x v="0"/>
    <x v="5"/>
    <x v="14"/>
    <x v="0"/>
    <x v="0"/>
    <x v="0"/>
    <x v="0"/>
    <x v="0"/>
    <x v="0"/>
    <x v="0"/>
  </r>
  <r>
    <x v="901"/>
    <x v="162"/>
    <x v="669"/>
    <x v="58"/>
    <x v="884"/>
    <x v="0"/>
    <x v="2"/>
    <x v="0"/>
    <x v="1"/>
    <x v="6"/>
    <x v="1"/>
    <x v="0"/>
    <x v="0"/>
    <x v="0"/>
    <x v="0"/>
    <x v="10"/>
    <x v="0"/>
    <x v="0"/>
  </r>
  <r>
    <x v="902"/>
    <x v="162"/>
    <x v="670"/>
    <x v="56"/>
    <x v="885"/>
    <x v="2"/>
    <x v="2"/>
    <x v="0"/>
    <x v="0"/>
    <x v="6"/>
    <x v="12"/>
    <x v="0"/>
    <x v="0"/>
    <x v="0"/>
    <x v="0"/>
    <x v="2"/>
    <x v="0"/>
    <x v="0"/>
  </r>
  <r>
    <x v="903"/>
    <x v="162"/>
    <x v="196"/>
    <x v="84"/>
    <x v="886"/>
    <x v="2"/>
    <x v="2"/>
    <x v="3"/>
    <x v="0"/>
    <x v="6"/>
    <x v="15"/>
    <x v="0"/>
    <x v="0"/>
    <x v="0"/>
    <x v="0"/>
    <x v="7"/>
    <x v="0"/>
    <x v="0"/>
  </r>
  <r>
    <x v="904"/>
    <x v="162"/>
    <x v="671"/>
    <x v="172"/>
    <x v="887"/>
    <x v="3"/>
    <x v="0"/>
    <x v="3"/>
    <x v="0"/>
    <x v="6"/>
    <x v="11"/>
    <x v="0"/>
    <x v="0"/>
    <x v="0"/>
    <x v="0"/>
    <x v="22"/>
    <x v="0"/>
    <x v="0"/>
  </r>
  <r>
    <x v="905"/>
    <x v="163"/>
    <x v="161"/>
    <x v="176"/>
    <x v="888"/>
    <x v="4"/>
    <x v="4"/>
    <x v="2"/>
    <x v="0"/>
    <x v="3"/>
    <x v="44"/>
    <x v="0"/>
    <x v="0"/>
    <x v="0"/>
    <x v="0"/>
    <x v="3"/>
    <x v="0"/>
    <x v="0"/>
  </r>
  <r>
    <x v="906"/>
    <x v="163"/>
    <x v="662"/>
    <x v="20"/>
    <x v="889"/>
    <x v="1"/>
    <x v="3"/>
    <x v="1"/>
    <x v="0"/>
    <x v="3"/>
    <x v="15"/>
    <x v="0"/>
    <x v="0"/>
    <x v="0"/>
    <x v="0"/>
    <x v="2"/>
    <x v="0"/>
    <x v="0"/>
  </r>
  <r>
    <x v="907"/>
    <x v="163"/>
    <x v="672"/>
    <x v="168"/>
    <x v="890"/>
    <x v="3"/>
    <x v="3"/>
    <x v="6"/>
    <x v="0"/>
    <x v="1"/>
    <x v="47"/>
    <x v="0"/>
    <x v="0"/>
    <x v="0"/>
    <x v="0"/>
    <x v="23"/>
    <x v="0"/>
    <x v="0"/>
  </r>
  <r>
    <x v="908"/>
    <x v="163"/>
    <x v="61"/>
    <x v="154"/>
    <x v="891"/>
    <x v="3"/>
    <x v="3"/>
    <x v="0"/>
    <x v="0"/>
    <x v="6"/>
    <x v="36"/>
    <x v="0"/>
    <x v="0"/>
    <x v="0"/>
    <x v="0"/>
    <x v="21"/>
    <x v="0"/>
    <x v="0"/>
  </r>
  <r>
    <x v="909"/>
    <x v="163"/>
    <x v="673"/>
    <x v="103"/>
    <x v="892"/>
    <x v="1"/>
    <x v="4"/>
    <x v="2"/>
    <x v="2"/>
    <x v="2"/>
    <x v="39"/>
    <x v="0"/>
    <x v="0"/>
    <x v="0"/>
    <x v="0"/>
    <x v="14"/>
    <x v="0"/>
    <x v="0"/>
  </r>
  <r>
    <x v="910"/>
    <x v="163"/>
    <x v="674"/>
    <x v="17"/>
    <x v="893"/>
    <x v="1"/>
    <x v="2"/>
    <x v="3"/>
    <x v="2"/>
    <x v="4"/>
    <x v="31"/>
    <x v="3"/>
    <x v="1"/>
    <x v="0"/>
    <x v="0"/>
    <x v="10"/>
    <x v="0"/>
    <x v="0"/>
  </r>
  <r>
    <x v="911"/>
    <x v="164"/>
    <x v="675"/>
    <x v="185"/>
    <x v="894"/>
    <x v="2"/>
    <x v="0"/>
    <x v="4"/>
    <x v="0"/>
    <x v="1"/>
    <x v="11"/>
    <x v="0"/>
    <x v="0"/>
    <x v="0"/>
    <x v="0"/>
    <x v="6"/>
    <x v="0"/>
    <x v="0"/>
  </r>
  <r>
    <x v="912"/>
    <x v="164"/>
    <x v="676"/>
    <x v="176"/>
    <x v="895"/>
    <x v="4"/>
    <x v="2"/>
    <x v="1"/>
    <x v="1"/>
    <x v="2"/>
    <x v="44"/>
    <x v="0"/>
    <x v="0"/>
    <x v="0"/>
    <x v="0"/>
    <x v="2"/>
    <x v="0"/>
    <x v="0"/>
  </r>
  <r>
    <x v="913"/>
    <x v="164"/>
    <x v="677"/>
    <x v="109"/>
    <x v="896"/>
    <x v="3"/>
    <x v="3"/>
    <x v="2"/>
    <x v="0"/>
    <x v="6"/>
    <x v="23"/>
    <x v="0"/>
    <x v="0"/>
    <x v="0"/>
    <x v="0"/>
    <x v="7"/>
    <x v="0"/>
    <x v="0"/>
  </r>
  <r>
    <x v="914"/>
    <x v="164"/>
    <x v="678"/>
    <x v="133"/>
    <x v="897"/>
    <x v="2"/>
    <x v="2"/>
    <x v="2"/>
    <x v="0"/>
    <x v="0"/>
    <x v="34"/>
    <x v="3"/>
    <x v="1"/>
    <x v="0"/>
    <x v="0"/>
    <x v="19"/>
    <x v="0"/>
    <x v="0"/>
  </r>
  <r>
    <x v="915"/>
    <x v="164"/>
    <x v="679"/>
    <x v="95"/>
    <x v="898"/>
    <x v="3"/>
    <x v="2"/>
    <x v="5"/>
    <x v="2"/>
    <x v="6"/>
    <x v="17"/>
    <x v="0"/>
    <x v="0"/>
    <x v="0"/>
    <x v="0"/>
    <x v="17"/>
    <x v="0"/>
    <x v="0"/>
  </r>
  <r>
    <x v="916"/>
    <x v="165"/>
    <x v="680"/>
    <x v="138"/>
    <x v="899"/>
    <x v="4"/>
    <x v="0"/>
    <x v="2"/>
    <x v="2"/>
    <x v="3"/>
    <x v="4"/>
    <x v="0"/>
    <x v="0"/>
    <x v="0"/>
    <x v="0"/>
    <x v="0"/>
    <x v="0"/>
    <x v="0"/>
  </r>
  <r>
    <x v="917"/>
    <x v="165"/>
    <x v="681"/>
    <x v="189"/>
    <x v="900"/>
    <x v="4"/>
    <x v="1"/>
    <x v="5"/>
    <x v="1"/>
    <x v="4"/>
    <x v="25"/>
    <x v="0"/>
    <x v="0"/>
    <x v="0"/>
    <x v="0"/>
    <x v="16"/>
    <x v="0"/>
    <x v="0"/>
  </r>
  <r>
    <x v="918"/>
    <x v="165"/>
    <x v="491"/>
    <x v="1"/>
    <x v="901"/>
    <x v="1"/>
    <x v="4"/>
    <x v="0"/>
    <x v="0"/>
    <x v="5"/>
    <x v="10"/>
    <x v="2"/>
    <x v="0"/>
    <x v="0"/>
    <x v="0"/>
    <x v="0"/>
    <x v="0"/>
    <x v="0"/>
  </r>
  <r>
    <x v="919"/>
    <x v="165"/>
    <x v="297"/>
    <x v="35"/>
    <x v="902"/>
    <x v="2"/>
    <x v="2"/>
    <x v="0"/>
    <x v="2"/>
    <x v="4"/>
    <x v="19"/>
    <x v="0"/>
    <x v="0"/>
    <x v="0"/>
    <x v="0"/>
    <x v="11"/>
    <x v="0"/>
    <x v="1"/>
  </r>
  <r>
    <x v="920"/>
    <x v="165"/>
    <x v="682"/>
    <x v="120"/>
    <x v="903"/>
    <x v="3"/>
    <x v="2"/>
    <x v="3"/>
    <x v="0"/>
    <x v="5"/>
    <x v="32"/>
    <x v="0"/>
    <x v="0"/>
    <x v="0"/>
    <x v="0"/>
    <x v="13"/>
    <x v="0"/>
    <x v="0"/>
  </r>
  <r>
    <x v="921"/>
    <x v="165"/>
    <x v="187"/>
    <x v="16"/>
    <x v="477"/>
    <x v="1"/>
    <x v="0"/>
    <x v="4"/>
    <x v="0"/>
    <x v="4"/>
    <x v="14"/>
    <x v="0"/>
    <x v="0"/>
    <x v="0"/>
    <x v="0"/>
    <x v="16"/>
    <x v="0"/>
    <x v="0"/>
  </r>
  <r>
    <x v="922"/>
    <x v="166"/>
    <x v="424"/>
    <x v="194"/>
    <x v="904"/>
    <x v="4"/>
    <x v="1"/>
    <x v="8"/>
    <x v="2"/>
    <x v="3"/>
    <x v="0"/>
    <x v="0"/>
    <x v="0"/>
    <x v="0"/>
    <x v="0"/>
    <x v="23"/>
    <x v="0"/>
    <x v="0"/>
  </r>
  <r>
    <x v="923"/>
    <x v="166"/>
    <x v="683"/>
    <x v="121"/>
    <x v="905"/>
    <x v="1"/>
    <x v="4"/>
    <x v="8"/>
    <x v="0"/>
    <x v="5"/>
    <x v="42"/>
    <x v="0"/>
    <x v="0"/>
    <x v="0"/>
    <x v="0"/>
    <x v="1"/>
    <x v="0"/>
    <x v="0"/>
  </r>
  <r>
    <x v="924"/>
    <x v="166"/>
    <x v="276"/>
    <x v="67"/>
    <x v="906"/>
    <x v="3"/>
    <x v="2"/>
    <x v="8"/>
    <x v="0"/>
    <x v="2"/>
    <x v="35"/>
    <x v="1"/>
    <x v="1"/>
    <x v="0"/>
    <x v="0"/>
    <x v="9"/>
    <x v="0"/>
    <x v="0"/>
  </r>
  <r>
    <x v="925"/>
    <x v="166"/>
    <x v="523"/>
    <x v="180"/>
    <x v="907"/>
    <x v="1"/>
    <x v="3"/>
    <x v="3"/>
    <x v="2"/>
    <x v="5"/>
    <x v="25"/>
    <x v="0"/>
    <x v="0"/>
    <x v="0"/>
    <x v="0"/>
    <x v="17"/>
    <x v="0"/>
    <x v="0"/>
  </r>
  <r>
    <x v="926"/>
    <x v="166"/>
    <x v="531"/>
    <x v="157"/>
    <x v="908"/>
    <x v="4"/>
    <x v="1"/>
    <x v="5"/>
    <x v="0"/>
    <x v="1"/>
    <x v="10"/>
    <x v="0"/>
    <x v="1"/>
    <x v="0"/>
    <x v="0"/>
    <x v="10"/>
    <x v="0"/>
    <x v="0"/>
  </r>
  <r>
    <x v="927"/>
    <x v="167"/>
    <x v="684"/>
    <x v="33"/>
    <x v="909"/>
    <x v="3"/>
    <x v="2"/>
    <x v="3"/>
    <x v="0"/>
    <x v="2"/>
    <x v="33"/>
    <x v="0"/>
    <x v="0"/>
    <x v="0"/>
    <x v="0"/>
    <x v="20"/>
    <x v="0"/>
    <x v="0"/>
  </r>
  <r>
    <x v="928"/>
    <x v="167"/>
    <x v="685"/>
    <x v="103"/>
    <x v="910"/>
    <x v="3"/>
    <x v="0"/>
    <x v="1"/>
    <x v="0"/>
    <x v="1"/>
    <x v="33"/>
    <x v="0"/>
    <x v="0"/>
    <x v="0"/>
    <x v="0"/>
    <x v="23"/>
    <x v="0"/>
    <x v="0"/>
  </r>
  <r>
    <x v="929"/>
    <x v="167"/>
    <x v="686"/>
    <x v="196"/>
    <x v="911"/>
    <x v="2"/>
    <x v="2"/>
    <x v="1"/>
    <x v="0"/>
    <x v="6"/>
    <x v="31"/>
    <x v="0"/>
    <x v="0"/>
    <x v="0"/>
    <x v="0"/>
    <x v="21"/>
    <x v="0"/>
    <x v="0"/>
  </r>
  <r>
    <x v="930"/>
    <x v="167"/>
    <x v="687"/>
    <x v="76"/>
    <x v="912"/>
    <x v="4"/>
    <x v="1"/>
    <x v="4"/>
    <x v="2"/>
    <x v="4"/>
    <x v="5"/>
    <x v="0"/>
    <x v="0"/>
    <x v="0"/>
    <x v="0"/>
    <x v="2"/>
    <x v="0"/>
    <x v="0"/>
  </r>
  <r>
    <x v="931"/>
    <x v="167"/>
    <x v="203"/>
    <x v="123"/>
    <x v="913"/>
    <x v="3"/>
    <x v="1"/>
    <x v="1"/>
    <x v="0"/>
    <x v="2"/>
    <x v="29"/>
    <x v="0"/>
    <x v="0"/>
    <x v="0"/>
    <x v="0"/>
    <x v="9"/>
    <x v="0"/>
    <x v="0"/>
  </r>
  <r>
    <x v="932"/>
    <x v="167"/>
    <x v="688"/>
    <x v="98"/>
    <x v="914"/>
    <x v="3"/>
    <x v="2"/>
    <x v="8"/>
    <x v="0"/>
    <x v="4"/>
    <x v="30"/>
    <x v="0"/>
    <x v="0"/>
    <x v="0"/>
    <x v="0"/>
    <x v="2"/>
    <x v="0"/>
    <x v="0"/>
  </r>
  <r>
    <x v="933"/>
    <x v="168"/>
    <x v="689"/>
    <x v="142"/>
    <x v="915"/>
    <x v="3"/>
    <x v="4"/>
    <x v="8"/>
    <x v="2"/>
    <x v="6"/>
    <x v="15"/>
    <x v="0"/>
    <x v="0"/>
    <x v="0"/>
    <x v="0"/>
    <x v="11"/>
    <x v="0"/>
    <x v="0"/>
  </r>
  <r>
    <x v="934"/>
    <x v="168"/>
    <x v="653"/>
    <x v="166"/>
    <x v="916"/>
    <x v="3"/>
    <x v="0"/>
    <x v="3"/>
    <x v="0"/>
    <x v="0"/>
    <x v="34"/>
    <x v="0"/>
    <x v="0"/>
    <x v="0"/>
    <x v="0"/>
    <x v="12"/>
    <x v="0"/>
    <x v="0"/>
  </r>
  <r>
    <x v="935"/>
    <x v="168"/>
    <x v="690"/>
    <x v="66"/>
    <x v="917"/>
    <x v="1"/>
    <x v="3"/>
    <x v="2"/>
    <x v="0"/>
    <x v="4"/>
    <x v="7"/>
    <x v="0"/>
    <x v="0"/>
    <x v="0"/>
    <x v="0"/>
    <x v="2"/>
    <x v="0"/>
    <x v="0"/>
  </r>
  <r>
    <x v="936"/>
    <x v="168"/>
    <x v="691"/>
    <x v="135"/>
    <x v="918"/>
    <x v="2"/>
    <x v="0"/>
    <x v="1"/>
    <x v="2"/>
    <x v="6"/>
    <x v="29"/>
    <x v="0"/>
    <x v="0"/>
    <x v="0"/>
    <x v="0"/>
    <x v="4"/>
    <x v="0"/>
    <x v="0"/>
  </r>
  <r>
    <x v="937"/>
    <x v="168"/>
    <x v="692"/>
    <x v="99"/>
    <x v="919"/>
    <x v="2"/>
    <x v="1"/>
    <x v="3"/>
    <x v="0"/>
    <x v="4"/>
    <x v="26"/>
    <x v="0"/>
    <x v="0"/>
    <x v="0"/>
    <x v="0"/>
    <x v="4"/>
    <x v="0"/>
    <x v="0"/>
  </r>
  <r>
    <x v="938"/>
    <x v="169"/>
    <x v="517"/>
    <x v="36"/>
    <x v="920"/>
    <x v="2"/>
    <x v="0"/>
    <x v="0"/>
    <x v="0"/>
    <x v="6"/>
    <x v="36"/>
    <x v="0"/>
    <x v="0"/>
    <x v="0"/>
    <x v="0"/>
    <x v="16"/>
    <x v="0"/>
    <x v="0"/>
  </r>
  <r>
    <x v="939"/>
    <x v="169"/>
    <x v="693"/>
    <x v="7"/>
    <x v="921"/>
    <x v="3"/>
    <x v="0"/>
    <x v="0"/>
    <x v="0"/>
    <x v="1"/>
    <x v="0"/>
    <x v="0"/>
    <x v="0"/>
    <x v="0"/>
    <x v="0"/>
    <x v="13"/>
    <x v="0"/>
    <x v="0"/>
  </r>
  <r>
    <x v="940"/>
    <x v="169"/>
    <x v="694"/>
    <x v="11"/>
    <x v="922"/>
    <x v="4"/>
    <x v="1"/>
    <x v="2"/>
    <x v="2"/>
    <x v="6"/>
    <x v="39"/>
    <x v="3"/>
    <x v="1"/>
    <x v="0"/>
    <x v="0"/>
    <x v="6"/>
    <x v="0"/>
    <x v="0"/>
  </r>
  <r>
    <x v="941"/>
    <x v="169"/>
    <x v="695"/>
    <x v="198"/>
    <x v="923"/>
    <x v="1"/>
    <x v="0"/>
    <x v="2"/>
    <x v="2"/>
    <x v="5"/>
    <x v="2"/>
    <x v="0"/>
    <x v="0"/>
    <x v="0"/>
    <x v="0"/>
    <x v="17"/>
    <x v="0"/>
    <x v="0"/>
  </r>
  <r>
    <x v="942"/>
    <x v="169"/>
    <x v="684"/>
    <x v="100"/>
    <x v="924"/>
    <x v="0"/>
    <x v="1"/>
    <x v="2"/>
    <x v="0"/>
    <x v="0"/>
    <x v="29"/>
    <x v="0"/>
    <x v="0"/>
    <x v="0"/>
    <x v="0"/>
    <x v="20"/>
    <x v="0"/>
    <x v="0"/>
  </r>
  <r>
    <x v="943"/>
    <x v="169"/>
    <x v="696"/>
    <x v="192"/>
    <x v="925"/>
    <x v="2"/>
    <x v="4"/>
    <x v="3"/>
    <x v="0"/>
    <x v="4"/>
    <x v="41"/>
    <x v="0"/>
    <x v="0"/>
    <x v="0"/>
    <x v="0"/>
    <x v="19"/>
    <x v="0"/>
    <x v="0"/>
  </r>
  <r>
    <x v="944"/>
    <x v="170"/>
    <x v="697"/>
    <x v="86"/>
    <x v="926"/>
    <x v="3"/>
    <x v="0"/>
    <x v="0"/>
    <x v="2"/>
    <x v="6"/>
    <x v="38"/>
    <x v="0"/>
    <x v="0"/>
    <x v="0"/>
    <x v="0"/>
    <x v="14"/>
    <x v="0"/>
    <x v="0"/>
  </r>
  <r>
    <x v="945"/>
    <x v="170"/>
    <x v="370"/>
    <x v="6"/>
    <x v="927"/>
    <x v="2"/>
    <x v="3"/>
    <x v="8"/>
    <x v="0"/>
    <x v="6"/>
    <x v="37"/>
    <x v="0"/>
    <x v="0"/>
    <x v="0"/>
    <x v="0"/>
    <x v="1"/>
    <x v="0"/>
    <x v="1"/>
  </r>
  <r>
    <x v="946"/>
    <x v="170"/>
    <x v="698"/>
    <x v="49"/>
    <x v="928"/>
    <x v="3"/>
    <x v="1"/>
    <x v="2"/>
    <x v="0"/>
    <x v="4"/>
    <x v="2"/>
    <x v="0"/>
    <x v="0"/>
    <x v="0"/>
    <x v="0"/>
    <x v="12"/>
    <x v="0"/>
    <x v="0"/>
  </r>
  <r>
    <x v="947"/>
    <x v="170"/>
    <x v="699"/>
    <x v="141"/>
    <x v="929"/>
    <x v="2"/>
    <x v="2"/>
    <x v="4"/>
    <x v="0"/>
    <x v="0"/>
    <x v="16"/>
    <x v="0"/>
    <x v="0"/>
    <x v="0"/>
    <x v="0"/>
    <x v="8"/>
    <x v="0"/>
    <x v="0"/>
  </r>
  <r>
    <x v="948"/>
    <x v="170"/>
    <x v="700"/>
    <x v="155"/>
    <x v="930"/>
    <x v="3"/>
    <x v="0"/>
    <x v="5"/>
    <x v="2"/>
    <x v="0"/>
    <x v="18"/>
    <x v="0"/>
    <x v="0"/>
    <x v="0"/>
    <x v="0"/>
    <x v="23"/>
    <x v="0"/>
    <x v="0"/>
  </r>
  <r>
    <x v="949"/>
    <x v="170"/>
    <x v="701"/>
    <x v="71"/>
    <x v="931"/>
    <x v="3"/>
    <x v="0"/>
    <x v="3"/>
    <x v="2"/>
    <x v="6"/>
    <x v="20"/>
    <x v="0"/>
    <x v="0"/>
    <x v="0"/>
    <x v="0"/>
    <x v="14"/>
    <x v="0"/>
    <x v="0"/>
  </r>
  <r>
    <x v="950"/>
    <x v="171"/>
    <x v="143"/>
    <x v="59"/>
    <x v="932"/>
    <x v="4"/>
    <x v="0"/>
    <x v="2"/>
    <x v="0"/>
    <x v="2"/>
    <x v="12"/>
    <x v="0"/>
    <x v="0"/>
    <x v="0"/>
    <x v="0"/>
    <x v="19"/>
    <x v="0"/>
    <x v="0"/>
  </r>
  <r>
    <x v="951"/>
    <x v="171"/>
    <x v="412"/>
    <x v="94"/>
    <x v="933"/>
    <x v="3"/>
    <x v="0"/>
    <x v="5"/>
    <x v="0"/>
    <x v="1"/>
    <x v="26"/>
    <x v="0"/>
    <x v="0"/>
    <x v="0"/>
    <x v="0"/>
    <x v="15"/>
    <x v="0"/>
    <x v="0"/>
  </r>
  <r>
    <x v="952"/>
    <x v="171"/>
    <x v="702"/>
    <x v="169"/>
    <x v="934"/>
    <x v="4"/>
    <x v="0"/>
    <x v="6"/>
    <x v="2"/>
    <x v="0"/>
    <x v="39"/>
    <x v="0"/>
    <x v="0"/>
    <x v="0"/>
    <x v="0"/>
    <x v="5"/>
    <x v="0"/>
    <x v="0"/>
  </r>
  <r>
    <x v="953"/>
    <x v="171"/>
    <x v="703"/>
    <x v="31"/>
    <x v="935"/>
    <x v="3"/>
    <x v="2"/>
    <x v="2"/>
    <x v="0"/>
    <x v="0"/>
    <x v="10"/>
    <x v="0"/>
    <x v="0"/>
    <x v="0"/>
    <x v="0"/>
    <x v="11"/>
    <x v="0"/>
    <x v="0"/>
  </r>
  <r>
    <x v="954"/>
    <x v="171"/>
    <x v="50"/>
    <x v="117"/>
    <x v="936"/>
    <x v="2"/>
    <x v="4"/>
    <x v="0"/>
    <x v="1"/>
    <x v="3"/>
    <x v="32"/>
    <x v="0"/>
    <x v="0"/>
    <x v="0"/>
    <x v="0"/>
    <x v="5"/>
    <x v="0"/>
    <x v="0"/>
  </r>
  <r>
    <x v="955"/>
    <x v="172"/>
    <x v="704"/>
    <x v="197"/>
    <x v="937"/>
    <x v="2"/>
    <x v="3"/>
    <x v="1"/>
    <x v="0"/>
    <x v="5"/>
    <x v="35"/>
    <x v="0"/>
    <x v="0"/>
    <x v="0"/>
    <x v="0"/>
    <x v="14"/>
    <x v="0"/>
    <x v="0"/>
  </r>
  <r>
    <x v="956"/>
    <x v="172"/>
    <x v="705"/>
    <x v="37"/>
    <x v="938"/>
    <x v="1"/>
    <x v="2"/>
    <x v="2"/>
    <x v="0"/>
    <x v="0"/>
    <x v="46"/>
    <x v="0"/>
    <x v="0"/>
    <x v="0"/>
    <x v="0"/>
    <x v="14"/>
    <x v="0"/>
    <x v="0"/>
  </r>
  <r>
    <x v="957"/>
    <x v="172"/>
    <x v="706"/>
    <x v="1"/>
    <x v="939"/>
    <x v="3"/>
    <x v="0"/>
    <x v="3"/>
    <x v="0"/>
    <x v="1"/>
    <x v="28"/>
    <x v="0"/>
    <x v="0"/>
    <x v="0"/>
    <x v="0"/>
    <x v="7"/>
    <x v="0"/>
    <x v="0"/>
  </r>
  <r>
    <x v="958"/>
    <x v="172"/>
    <x v="707"/>
    <x v="164"/>
    <x v="940"/>
    <x v="3"/>
    <x v="0"/>
    <x v="1"/>
    <x v="0"/>
    <x v="5"/>
    <x v="21"/>
    <x v="0"/>
    <x v="0"/>
    <x v="0"/>
    <x v="0"/>
    <x v="18"/>
    <x v="0"/>
    <x v="0"/>
  </r>
  <r>
    <x v="959"/>
    <x v="172"/>
    <x v="46"/>
    <x v="184"/>
    <x v="941"/>
    <x v="3"/>
    <x v="0"/>
    <x v="6"/>
    <x v="1"/>
    <x v="5"/>
    <x v="34"/>
    <x v="0"/>
    <x v="0"/>
    <x v="0"/>
    <x v="0"/>
    <x v="9"/>
    <x v="0"/>
    <x v="1"/>
  </r>
  <r>
    <x v="960"/>
    <x v="172"/>
    <x v="708"/>
    <x v="0"/>
    <x v="942"/>
    <x v="3"/>
    <x v="0"/>
    <x v="4"/>
    <x v="0"/>
    <x v="4"/>
    <x v="40"/>
    <x v="0"/>
    <x v="0"/>
    <x v="0"/>
    <x v="0"/>
    <x v="3"/>
    <x v="0"/>
    <x v="0"/>
  </r>
  <r>
    <x v="961"/>
    <x v="173"/>
    <x v="643"/>
    <x v="140"/>
    <x v="943"/>
    <x v="2"/>
    <x v="1"/>
    <x v="1"/>
    <x v="2"/>
    <x v="4"/>
    <x v="31"/>
    <x v="0"/>
    <x v="0"/>
    <x v="0"/>
    <x v="0"/>
    <x v="8"/>
    <x v="0"/>
    <x v="0"/>
  </r>
  <r>
    <x v="962"/>
    <x v="173"/>
    <x v="144"/>
    <x v="37"/>
    <x v="944"/>
    <x v="0"/>
    <x v="2"/>
    <x v="5"/>
    <x v="0"/>
    <x v="4"/>
    <x v="44"/>
    <x v="0"/>
    <x v="0"/>
    <x v="0"/>
    <x v="0"/>
    <x v="7"/>
    <x v="0"/>
    <x v="0"/>
  </r>
  <r>
    <x v="963"/>
    <x v="173"/>
    <x v="709"/>
    <x v="120"/>
    <x v="945"/>
    <x v="4"/>
    <x v="1"/>
    <x v="8"/>
    <x v="0"/>
    <x v="4"/>
    <x v="8"/>
    <x v="0"/>
    <x v="0"/>
    <x v="0"/>
    <x v="0"/>
    <x v="20"/>
    <x v="0"/>
    <x v="0"/>
  </r>
  <r>
    <x v="964"/>
    <x v="173"/>
    <x v="372"/>
    <x v="175"/>
    <x v="215"/>
    <x v="2"/>
    <x v="1"/>
    <x v="2"/>
    <x v="0"/>
    <x v="3"/>
    <x v="41"/>
    <x v="0"/>
    <x v="0"/>
    <x v="0"/>
    <x v="0"/>
    <x v="7"/>
    <x v="0"/>
    <x v="0"/>
  </r>
  <r>
    <x v="965"/>
    <x v="173"/>
    <x v="103"/>
    <x v="7"/>
    <x v="946"/>
    <x v="2"/>
    <x v="3"/>
    <x v="6"/>
    <x v="0"/>
    <x v="0"/>
    <x v="22"/>
    <x v="0"/>
    <x v="0"/>
    <x v="0"/>
    <x v="0"/>
    <x v="10"/>
    <x v="0"/>
    <x v="0"/>
  </r>
  <r>
    <x v="966"/>
    <x v="174"/>
    <x v="710"/>
    <x v="150"/>
    <x v="947"/>
    <x v="2"/>
    <x v="3"/>
    <x v="6"/>
    <x v="1"/>
    <x v="4"/>
    <x v="12"/>
    <x v="0"/>
    <x v="0"/>
    <x v="0"/>
    <x v="0"/>
    <x v="6"/>
    <x v="0"/>
    <x v="0"/>
  </r>
  <r>
    <x v="967"/>
    <x v="174"/>
    <x v="711"/>
    <x v="104"/>
    <x v="948"/>
    <x v="3"/>
    <x v="0"/>
    <x v="1"/>
    <x v="0"/>
    <x v="6"/>
    <x v="31"/>
    <x v="0"/>
    <x v="0"/>
    <x v="0"/>
    <x v="0"/>
    <x v="4"/>
    <x v="0"/>
    <x v="0"/>
  </r>
  <r>
    <x v="968"/>
    <x v="174"/>
    <x v="401"/>
    <x v="49"/>
    <x v="949"/>
    <x v="4"/>
    <x v="4"/>
    <x v="4"/>
    <x v="0"/>
    <x v="2"/>
    <x v="34"/>
    <x v="0"/>
    <x v="0"/>
    <x v="0"/>
    <x v="0"/>
    <x v="19"/>
    <x v="0"/>
    <x v="0"/>
  </r>
  <r>
    <x v="969"/>
    <x v="174"/>
    <x v="712"/>
    <x v="140"/>
    <x v="129"/>
    <x v="2"/>
    <x v="4"/>
    <x v="0"/>
    <x v="0"/>
    <x v="4"/>
    <x v="42"/>
    <x v="0"/>
    <x v="0"/>
    <x v="0"/>
    <x v="0"/>
    <x v="9"/>
    <x v="0"/>
    <x v="0"/>
  </r>
  <r>
    <x v="970"/>
    <x v="174"/>
    <x v="713"/>
    <x v="4"/>
    <x v="950"/>
    <x v="1"/>
    <x v="0"/>
    <x v="2"/>
    <x v="0"/>
    <x v="0"/>
    <x v="3"/>
    <x v="0"/>
    <x v="0"/>
    <x v="0"/>
    <x v="0"/>
    <x v="8"/>
    <x v="0"/>
    <x v="0"/>
  </r>
  <r>
    <x v="971"/>
    <x v="174"/>
    <x v="714"/>
    <x v="168"/>
    <x v="951"/>
    <x v="3"/>
    <x v="1"/>
    <x v="6"/>
    <x v="0"/>
    <x v="4"/>
    <x v="30"/>
    <x v="0"/>
    <x v="0"/>
    <x v="0"/>
    <x v="0"/>
    <x v="14"/>
    <x v="0"/>
    <x v="0"/>
  </r>
  <r>
    <x v="972"/>
    <x v="175"/>
    <x v="715"/>
    <x v="44"/>
    <x v="952"/>
    <x v="1"/>
    <x v="1"/>
    <x v="4"/>
    <x v="2"/>
    <x v="3"/>
    <x v="32"/>
    <x v="1"/>
    <x v="1"/>
    <x v="0"/>
    <x v="0"/>
    <x v="12"/>
    <x v="0"/>
    <x v="0"/>
  </r>
  <r>
    <x v="973"/>
    <x v="175"/>
    <x v="716"/>
    <x v="62"/>
    <x v="953"/>
    <x v="1"/>
    <x v="4"/>
    <x v="8"/>
    <x v="0"/>
    <x v="1"/>
    <x v="6"/>
    <x v="0"/>
    <x v="0"/>
    <x v="0"/>
    <x v="0"/>
    <x v="1"/>
    <x v="0"/>
    <x v="0"/>
  </r>
  <r>
    <x v="974"/>
    <x v="175"/>
    <x v="717"/>
    <x v="18"/>
    <x v="954"/>
    <x v="4"/>
    <x v="3"/>
    <x v="6"/>
    <x v="0"/>
    <x v="1"/>
    <x v="21"/>
    <x v="0"/>
    <x v="0"/>
    <x v="0"/>
    <x v="0"/>
    <x v="3"/>
    <x v="0"/>
    <x v="0"/>
  </r>
  <r>
    <x v="975"/>
    <x v="175"/>
    <x v="718"/>
    <x v="31"/>
    <x v="955"/>
    <x v="1"/>
    <x v="0"/>
    <x v="4"/>
    <x v="0"/>
    <x v="0"/>
    <x v="14"/>
    <x v="0"/>
    <x v="0"/>
    <x v="0"/>
    <x v="0"/>
    <x v="9"/>
    <x v="0"/>
    <x v="0"/>
  </r>
  <r>
    <x v="976"/>
    <x v="175"/>
    <x v="547"/>
    <x v="178"/>
    <x v="956"/>
    <x v="3"/>
    <x v="1"/>
    <x v="3"/>
    <x v="1"/>
    <x v="6"/>
    <x v="43"/>
    <x v="0"/>
    <x v="0"/>
    <x v="0"/>
    <x v="0"/>
    <x v="2"/>
    <x v="0"/>
    <x v="0"/>
  </r>
  <r>
    <x v="977"/>
    <x v="176"/>
    <x v="719"/>
    <x v="129"/>
    <x v="957"/>
    <x v="0"/>
    <x v="2"/>
    <x v="0"/>
    <x v="0"/>
    <x v="1"/>
    <x v="35"/>
    <x v="0"/>
    <x v="0"/>
    <x v="0"/>
    <x v="0"/>
    <x v="14"/>
    <x v="0"/>
    <x v="1"/>
  </r>
  <r>
    <x v="978"/>
    <x v="176"/>
    <x v="395"/>
    <x v="147"/>
    <x v="958"/>
    <x v="3"/>
    <x v="1"/>
    <x v="0"/>
    <x v="0"/>
    <x v="1"/>
    <x v="40"/>
    <x v="0"/>
    <x v="0"/>
    <x v="0"/>
    <x v="0"/>
    <x v="11"/>
    <x v="0"/>
    <x v="0"/>
  </r>
  <r>
    <x v="979"/>
    <x v="176"/>
    <x v="548"/>
    <x v="90"/>
    <x v="959"/>
    <x v="1"/>
    <x v="0"/>
    <x v="6"/>
    <x v="0"/>
    <x v="2"/>
    <x v="23"/>
    <x v="3"/>
    <x v="1"/>
    <x v="0"/>
    <x v="0"/>
    <x v="16"/>
    <x v="0"/>
    <x v="0"/>
  </r>
  <r>
    <x v="980"/>
    <x v="176"/>
    <x v="720"/>
    <x v="186"/>
    <x v="960"/>
    <x v="3"/>
    <x v="3"/>
    <x v="5"/>
    <x v="0"/>
    <x v="0"/>
    <x v="35"/>
    <x v="0"/>
    <x v="0"/>
    <x v="0"/>
    <x v="0"/>
    <x v="8"/>
    <x v="0"/>
    <x v="0"/>
  </r>
  <r>
    <x v="981"/>
    <x v="176"/>
    <x v="294"/>
    <x v="177"/>
    <x v="961"/>
    <x v="2"/>
    <x v="2"/>
    <x v="6"/>
    <x v="0"/>
    <x v="6"/>
    <x v="5"/>
    <x v="0"/>
    <x v="0"/>
    <x v="0"/>
    <x v="0"/>
    <x v="14"/>
    <x v="0"/>
    <x v="0"/>
  </r>
  <r>
    <x v="982"/>
    <x v="176"/>
    <x v="636"/>
    <x v="38"/>
    <x v="215"/>
    <x v="4"/>
    <x v="3"/>
    <x v="1"/>
    <x v="0"/>
    <x v="0"/>
    <x v="3"/>
    <x v="0"/>
    <x v="0"/>
    <x v="0"/>
    <x v="0"/>
    <x v="6"/>
    <x v="0"/>
    <x v="0"/>
  </r>
  <r>
    <x v="983"/>
    <x v="177"/>
    <x v="193"/>
    <x v="31"/>
    <x v="962"/>
    <x v="3"/>
    <x v="3"/>
    <x v="2"/>
    <x v="2"/>
    <x v="1"/>
    <x v="4"/>
    <x v="0"/>
    <x v="1"/>
    <x v="0"/>
    <x v="0"/>
    <x v="12"/>
    <x v="0"/>
    <x v="0"/>
  </r>
  <r>
    <x v="984"/>
    <x v="177"/>
    <x v="355"/>
    <x v="172"/>
    <x v="462"/>
    <x v="4"/>
    <x v="3"/>
    <x v="4"/>
    <x v="0"/>
    <x v="1"/>
    <x v="47"/>
    <x v="0"/>
    <x v="0"/>
    <x v="0"/>
    <x v="0"/>
    <x v="2"/>
    <x v="0"/>
    <x v="0"/>
  </r>
  <r>
    <x v="985"/>
    <x v="177"/>
    <x v="721"/>
    <x v="75"/>
    <x v="963"/>
    <x v="3"/>
    <x v="1"/>
    <x v="6"/>
    <x v="2"/>
    <x v="1"/>
    <x v="12"/>
    <x v="0"/>
    <x v="0"/>
    <x v="0"/>
    <x v="0"/>
    <x v="3"/>
    <x v="0"/>
    <x v="0"/>
  </r>
  <r>
    <x v="986"/>
    <x v="177"/>
    <x v="326"/>
    <x v="165"/>
    <x v="964"/>
    <x v="4"/>
    <x v="2"/>
    <x v="2"/>
    <x v="0"/>
    <x v="5"/>
    <x v="29"/>
    <x v="0"/>
    <x v="0"/>
    <x v="0"/>
    <x v="0"/>
    <x v="4"/>
    <x v="0"/>
    <x v="0"/>
  </r>
  <r>
    <x v="987"/>
    <x v="177"/>
    <x v="722"/>
    <x v="58"/>
    <x v="965"/>
    <x v="2"/>
    <x v="0"/>
    <x v="1"/>
    <x v="0"/>
    <x v="3"/>
    <x v="11"/>
    <x v="0"/>
    <x v="0"/>
    <x v="0"/>
    <x v="0"/>
    <x v="6"/>
    <x v="0"/>
    <x v="0"/>
  </r>
  <r>
    <x v="988"/>
    <x v="178"/>
    <x v="90"/>
    <x v="13"/>
    <x v="966"/>
    <x v="4"/>
    <x v="2"/>
    <x v="3"/>
    <x v="0"/>
    <x v="4"/>
    <x v="25"/>
    <x v="0"/>
    <x v="0"/>
    <x v="0"/>
    <x v="0"/>
    <x v="23"/>
    <x v="0"/>
    <x v="0"/>
  </r>
  <r>
    <x v="989"/>
    <x v="178"/>
    <x v="723"/>
    <x v="165"/>
    <x v="967"/>
    <x v="3"/>
    <x v="0"/>
    <x v="3"/>
    <x v="0"/>
    <x v="3"/>
    <x v="34"/>
    <x v="0"/>
    <x v="0"/>
    <x v="0"/>
    <x v="0"/>
    <x v="13"/>
    <x v="0"/>
    <x v="0"/>
  </r>
  <r>
    <x v="990"/>
    <x v="178"/>
    <x v="724"/>
    <x v="42"/>
    <x v="968"/>
    <x v="0"/>
    <x v="2"/>
    <x v="2"/>
    <x v="2"/>
    <x v="0"/>
    <x v="16"/>
    <x v="0"/>
    <x v="1"/>
    <x v="0"/>
    <x v="0"/>
    <x v="19"/>
    <x v="0"/>
    <x v="0"/>
  </r>
  <r>
    <x v="991"/>
    <x v="178"/>
    <x v="725"/>
    <x v="105"/>
    <x v="969"/>
    <x v="2"/>
    <x v="0"/>
    <x v="6"/>
    <x v="0"/>
    <x v="2"/>
    <x v="29"/>
    <x v="0"/>
    <x v="0"/>
    <x v="0"/>
    <x v="0"/>
    <x v="14"/>
    <x v="0"/>
    <x v="0"/>
  </r>
  <r>
    <x v="992"/>
    <x v="178"/>
    <x v="726"/>
    <x v="8"/>
    <x v="970"/>
    <x v="3"/>
    <x v="0"/>
    <x v="0"/>
    <x v="0"/>
    <x v="4"/>
    <x v="47"/>
    <x v="0"/>
    <x v="0"/>
    <x v="0"/>
    <x v="0"/>
    <x v="11"/>
    <x v="0"/>
    <x v="0"/>
  </r>
  <r>
    <x v="993"/>
    <x v="178"/>
    <x v="148"/>
    <x v="5"/>
    <x v="971"/>
    <x v="4"/>
    <x v="0"/>
    <x v="4"/>
    <x v="0"/>
    <x v="2"/>
    <x v="26"/>
    <x v="0"/>
    <x v="1"/>
    <x v="0"/>
    <x v="0"/>
    <x v="9"/>
    <x v="0"/>
    <x v="0"/>
  </r>
  <r>
    <x v="994"/>
    <x v="179"/>
    <x v="296"/>
    <x v="160"/>
    <x v="972"/>
    <x v="3"/>
    <x v="0"/>
    <x v="4"/>
    <x v="1"/>
    <x v="6"/>
    <x v="0"/>
    <x v="2"/>
    <x v="0"/>
    <x v="0"/>
    <x v="0"/>
    <x v="6"/>
    <x v="0"/>
    <x v="0"/>
  </r>
  <r>
    <x v="995"/>
    <x v="179"/>
    <x v="479"/>
    <x v="187"/>
    <x v="973"/>
    <x v="4"/>
    <x v="2"/>
    <x v="3"/>
    <x v="0"/>
    <x v="5"/>
    <x v="5"/>
    <x v="0"/>
    <x v="0"/>
    <x v="0"/>
    <x v="0"/>
    <x v="1"/>
    <x v="0"/>
    <x v="0"/>
  </r>
  <r>
    <x v="996"/>
    <x v="179"/>
    <x v="727"/>
    <x v="189"/>
    <x v="974"/>
    <x v="3"/>
    <x v="2"/>
    <x v="3"/>
    <x v="1"/>
    <x v="0"/>
    <x v="23"/>
    <x v="1"/>
    <x v="1"/>
    <x v="0"/>
    <x v="0"/>
    <x v="15"/>
    <x v="0"/>
    <x v="0"/>
  </r>
  <r>
    <x v="997"/>
    <x v="179"/>
    <x v="184"/>
    <x v="169"/>
    <x v="975"/>
    <x v="2"/>
    <x v="1"/>
    <x v="0"/>
    <x v="0"/>
    <x v="5"/>
    <x v="19"/>
    <x v="0"/>
    <x v="0"/>
    <x v="0"/>
    <x v="0"/>
    <x v="1"/>
    <x v="0"/>
    <x v="0"/>
  </r>
  <r>
    <x v="998"/>
    <x v="179"/>
    <x v="187"/>
    <x v="120"/>
    <x v="976"/>
    <x v="1"/>
    <x v="0"/>
    <x v="5"/>
    <x v="0"/>
    <x v="0"/>
    <x v="16"/>
    <x v="0"/>
    <x v="1"/>
    <x v="0"/>
    <x v="0"/>
    <x v="16"/>
    <x v="0"/>
    <x v="0"/>
  </r>
  <r>
    <x v="999"/>
    <x v="180"/>
    <x v="309"/>
    <x v="151"/>
    <x v="977"/>
    <x v="3"/>
    <x v="0"/>
    <x v="6"/>
    <x v="0"/>
    <x v="2"/>
    <x v="19"/>
    <x v="0"/>
    <x v="0"/>
    <x v="0"/>
    <x v="0"/>
    <x v="1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3" firstHeaderRow="0" firstDataRow="1" firstDataCol="1"/>
  <pivotFields count="18">
    <pivotField compact="0" showAll="0"/>
    <pivotField compact="0" numFmtId="180" showAll="0"/>
    <pivotField compact="0" numFmtId="181" showAll="0"/>
    <pivotField compact="0" showAll="0"/>
    <pivotField dataField="1" compact="0" showAll="0"/>
    <pivotField compact="0" showAll="0"/>
    <pivotField compact="0" showAll="0"/>
    <pivotField axis="axisRow" compact="0" showAll="0">
      <items count="10">
        <item x="2"/>
        <item x="0"/>
        <item x="4"/>
        <item x="1"/>
        <item x="6"/>
        <item x="3"/>
        <item x="8"/>
        <item x="5"/>
        <item x="7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Flag" fld="12" baseField="0" baseItem="0"/>
    <dataField name="Sum of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8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raud_Flag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18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2"/>
        <item x="6"/>
        <item x="0"/>
        <item x="4"/>
        <item x="1"/>
        <item x="3"/>
        <item x="5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raud_Flag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5" firstHeaderRow="1" firstDataRow="1" firstDataCol="1"/>
  <pivotFields count="18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</pivotFields>
  <rowFields count="1">
    <field x="16"/>
  </rowFields>
  <rowItems count="2">
    <i>
      <x/>
    </i>
    <i t="grand">
      <x/>
    </i>
  </rowItems>
  <colItems count="1">
    <i/>
  </colItems>
  <dataFields count="1">
    <dataField name="Sum of Fraud_Flag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0" firstHeaderRow="0" firstDataRow="1" firstDataCol="1"/>
  <pivotFields count="18">
    <pivotField compact="0" showAll="0"/>
    <pivotField compact="0" numFmtId="180" showAll="0"/>
    <pivotField compact="0" numFmtId="181" showAll="0"/>
    <pivotField compact="0" showAll="0"/>
    <pivotField dataField="1" compact="0" showAll="0"/>
    <pivotField axis="axisRow" compact="0" showAll="0">
      <items count="7">
        <item x="1"/>
        <item x="2"/>
        <item x="4"/>
        <item x="3"/>
        <item x="0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Flag" fld="12" baseField="0" baseItem="0"/>
    <dataField name="Sum of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Payments_Data" displayName="Payments_Data" ref="A1:R1001" totalsRowShown="0">
  <autoFilter xmlns:etc="http://www.wps.cn/officeDocument/2017/etCustomData" ref="A1:R1001" etc:filterBottomFollowUsedRange="0"/>
  <tableColumns count="18">
    <tableColumn id="1" name="Transaction_ID"/>
    <tableColumn id="2" name="Transaction_Date" dataDxfId="0"/>
    <tableColumn id="3" name="Transaction_Time" dataDxfId="1"/>
    <tableColumn id="4" name="Customer_ID"/>
    <tableColumn id="5" name="Amount"/>
    <tableColumn id="6" name="Payment_Method"/>
    <tableColumn id="7" name="Transaction_Type"/>
    <tableColumn id="8" name="Location"/>
    <tableColumn id="9" name="Device_Type"/>
    <tableColumn id="10" name="Merchant_Category"/>
    <tableColumn id="11" name="Customer_Age"/>
    <tableColumn id="12" name="Transaction_Status"/>
    <tableColumn id="13" name="Fraud_Flag"/>
    <tableColumn id="14" name="Duplicate_Check" dataDxfId="2">
      <calculatedColumnFormula>COUNTIF($A$2:$A$1001,A2)</calculatedColumnFormula>
    </tableColumn>
    <tableColumn id="15" name="Unknown"/>
    <tableColumn id="16" name="Transaction_Hour" dataDxfId="3">
      <calculatedColumnFormula>HOUR(C2)</calculatedColumnFormula>
    </tableColumn>
    <tableColumn id="17" name="Time_Period" dataDxfId="4">
      <calculatedColumnFormula>IF(N2&lt;6,"Late Night",IF(N2&lt;12,"Morning",IF(N2&lt;18,"Afternoon","Evening")))</calculatedColumnFormula>
    </tableColumn>
    <tableColumn id="18" name="Amount_Category" dataDxfId="5">
      <calculatedColumnFormula>IF(E2&lt;1000,"Low",IF(E2&lt;5000,"Medium",IF(E2&lt;15000,"High","Very High")))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workbookViewId="0">
      <selection activeCell="A3" sqref="A3"/>
    </sheetView>
  </sheetViews>
  <sheetFormatPr defaultColWidth="8.88888888888889" defaultRowHeight="14.4" outlineLevelCol="2"/>
  <cols>
    <col min="1" max="1" width="11.6666666666667"/>
    <col min="2" max="3" width="17.4444444444444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23</v>
      </c>
      <c r="C4">
        <v>36027.18</v>
      </c>
    </row>
    <row r="5" spans="1:3">
      <c r="A5" t="s">
        <v>4</v>
      </c>
      <c r="B5">
        <v>7</v>
      </c>
      <c r="C5">
        <v>45700.48</v>
      </c>
    </row>
    <row r="6" spans="1:3">
      <c r="A6" t="s">
        <v>5</v>
      </c>
      <c r="B6">
        <v>20</v>
      </c>
      <c r="C6">
        <v>35995.26</v>
      </c>
    </row>
    <row r="7" spans="1:3">
      <c r="A7" t="s">
        <v>6</v>
      </c>
      <c r="B7">
        <v>15</v>
      </c>
      <c r="C7">
        <v>47181.41</v>
      </c>
    </row>
    <row r="8" spans="1:3">
      <c r="A8" t="s">
        <v>7</v>
      </c>
      <c r="B8">
        <v>11</v>
      </c>
      <c r="C8">
        <v>31826.52</v>
      </c>
    </row>
    <row r="9" spans="1:3">
      <c r="A9" t="s">
        <v>8</v>
      </c>
      <c r="B9">
        <v>18</v>
      </c>
      <c r="C9">
        <v>42275.67</v>
      </c>
    </row>
    <row r="10" spans="1:3">
      <c r="A10" t="s">
        <v>9</v>
      </c>
      <c r="B10">
        <v>11</v>
      </c>
      <c r="C10">
        <v>41859.97</v>
      </c>
    </row>
    <row r="11" spans="1:3">
      <c r="A11" t="s">
        <v>10</v>
      </c>
      <c r="B11">
        <v>12</v>
      </c>
      <c r="C11">
        <v>40129.34</v>
      </c>
    </row>
    <row r="12" spans="1:3">
      <c r="A12" t="s">
        <v>11</v>
      </c>
      <c r="B12">
        <v>0</v>
      </c>
      <c r="C12">
        <v>4951.46</v>
      </c>
    </row>
    <row r="13" spans="1:3">
      <c r="A13" t="s">
        <v>12</v>
      </c>
      <c r="B13">
        <v>117</v>
      </c>
      <c r="C13">
        <v>325947.29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4.6666666666667"/>
    <col min="2" max="2" width="18.1111111111111"/>
  </cols>
  <sheetData>
    <row r="3" spans="1:2">
      <c r="A3" t="s">
        <v>13</v>
      </c>
      <c r="B3" t="s">
        <v>1</v>
      </c>
    </row>
    <row r="4" spans="1:2">
      <c r="A4" t="s">
        <v>14</v>
      </c>
      <c r="B4">
        <v>44</v>
      </c>
    </row>
    <row r="5" spans="1:2">
      <c r="A5" t="s">
        <v>15</v>
      </c>
      <c r="B5">
        <v>61</v>
      </c>
    </row>
    <row r="6" spans="1:2">
      <c r="A6" t="s">
        <v>16</v>
      </c>
      <c r="B6">
        <v>12</v>
      </c>
    </row>
    <row r="7" spans="1:2">
      <c r="A7" t="s">
        <v>12</v>
      </c>
      <c r="B7">
        <v>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"/>
    </sheetView>
  </sheetViews>
  <sheetFormatPr defaultColWidth="8.88888888888889" defaultRowHeight="14.4" outlineLevelCol="1"/>
  <cols>
    <col min="1" max="1" width="21.5555555555556"/>
    <col min="2" max="2" width="18.1111111111111"/>
  </cols>
  <sheetData>
    <row r="3" spans="1:2">
      <c r="A3" t="s">
        <v>17</v>
      </c>
      <c r="B3" t="s">
        <v>1</v>
      </c>
    </row>
    <row r="4" spans="1:2">
      <c r="A4" t="s">
        <v>18</v>
      </c>
      <c r="B4">
        <v>16</v>
      </c>
    </row>
    <row r="5" spans="1:2">
      <c r="A5" t="s">
        <v>19</v>
      </c>
      <c r="B5">
        <v>19</v>
      </c>
    </row>
    <row r="6" spans="1:2">
      <c r="A6" t="s">
        <v>20</v>
      </c>
      <c r="B6">
        <v>19</v>
      </c>
    </row>
    <row r="7" spans="1:2">
      <c r="A7" t="s">
        <v>21</v>
      </c>
      <c r="B7">
        <v>12</v>
      </c>
    </row>
    <row r="8" spans="1:2">
      <c r="A8" t="s">
        <v>22</v>
      </c>
      <c r="B8">
        <v>22</v>
      </c>
    </row>
    <row r="9" spans="1:2">
      <c r="A9" t="s">
        <v>23</v>
      </c>
      <c r="B9">
        <v>15</v>
      </c>
    </row>
    <row r="10" spans="1:2">
      <c r="A10" t="s">
        <v>24</v>
      </c>
      <c r="B10">
        <v>14</v>
      </c>
    </row>
    <row r="11" spans="1:2">
      <c r="A11" t="s">
        <v>12</v>
      </c>
      <c r="B11">
        <v>117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A3" sqref="A3"/>
    </sheetView>
  </sheetViews>
  <sheetFormatPr defaultColWidth="8.88888888888889" defaultRowHeight="14.4" outlineLevelRow="4" outlineLevelCol="1"/>
  <cols>
    <col min="1" max="1" width="14.5555555555556"/>
    <col min="2" max="2" width="18.1111111111111"/>
  </cols>
  <sheetData>
    <row r="3" spans="1:2">
      <c r="A3" t="s">
        <v>25</v>
      </c>
      <c r="B3" t="s">
        <v>1</v>
      </c>
    </row>
    <row r="4" spans="1:2">
      <c r="A4" t="s">
        <v>26</v>
      </c>
      <c r="B4">
        <v>117</v>
      </c>
    </row>
    <row r="5" spans="1:2">
      <c r="A5" t="s">
        <v>12</v>
      </c>
      <c r="B5">
        <v>117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tabSelected="1" zoomScale="47" zoomScaleNormal="47" workbookViewId="0">
      <selection activeCell="A3" sqref="A3"/>
    </sheetView>
  </sheetViews>
  <sheetFormatPr defaultColWidth="8.88888888888889" defaultRowHeight="14.4" outlineLevelCol="2"/>
  <cols>
    <col min="1" max="1" width="19.8888888888889"/>
    <col min="2" max="3" width="17.4444444444444"/>
  </cols>
  <sheetData>
    <row r="3" spans="1:3">
      <c r="A3" t="s">
        <v>27</v>
      </c>
      <c r="B3" t="s">
        <v>1</v>
      </c>
      <c r="C3" t="s">
        <v>2</v>
      </c>
    </row>
    <row r="4" spans="1:3">
      <c r="A4" t="s">
        <v>28</v>
      </c>
      <c r="B4">
        <v>15</v>
      </c>
      <c r="C4">
        <v>54189.19</v>
      </c>
    </row>
    <row r="5" spans="1:3">
      <c r="A5" t="s">
        <v>29</v>
      </c>
      <c r="B5">
        <v>27</v>
      </c>
      <c r="C5">
        <v>75808.79</v>
      </c>
    </row>
    <row r="6" spans="1:3">
      <c r="A6" t="s">
        <v>30</v>
      </c>
      <c r="B6">
        <v>14</v>
      </c>
      <c r="C6">
        <v>47124.64</v>
      </c>
    </row>
    <row r="7" spans="1:3">
      <c r="A7" t="s">
        <v>31</v>
      </c>
      <c r="B7">
        <v>43</v>
      </c>
      <c r="C7">
        <v>123501.8</v>
      </c>
    </row>
    <row r="8" spans="1:3">
      <c r="A8" t="s">
        <v>32</v>
      </c>
      <c r="B8">
        <v>18</v>
      </c>
      <c r="C8">
        <v>23708.14</v>
      </c>
    </row>
    <row r="9" spans="1:3">
      <c r="A9" t="s">
        <v>11</v>
      </c>
      <c r="B9">
        <v>0</v>
      </c>
      <c r="C9">
        <v>1614.73</v>
      </c>
    </row>
    <row r="10" spans="1:3">
      <c r="A10" t="s">
        <v>12</v>
      </c>
      <c r="B10">
        <v>117</v>
      </c>
      <c r="C10">
        <v>325947.29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zoomScale="78" zoomScaleNormal="78" zoomScaleSheetLayoutView="60" workbookViewId="0">
      <pane ySplit="1" topLeftCell="A3" activePane="bottomLeft" state="frozen"/>
      <selection/>
      <selection pane="bottomLeft" activeCell="F12" sqref="F12"/>
    </sheetView>
  </sheetViews>
  <sheetFormatPr defaultColWidth="10" defaultRowHeight="14.4"/>
  <cols>
    <col min="1" max="1" width="14.5555555555556" customWidth="1"/>
    <col min="2" max="2" width="16.8888888888889" customWidth="1"/>
    <col min="3" max="3" width="17" customWidth="1"/>
    <col min="4" max="4" width="12.6666666666667" customWidth="1"/>
    <col min="5" max="5" width="9.66666666666667" customWidth="1"/>
    <col min="6" max="6" width="17" customWidth="1"/>
    <col min="7" max="7" width="16.8888888888889" customWidth="1"/>
    <col min="8" max="8" width="11.5555555555556" customWidth="1"/>
    <col min="9" max="9" width="12.2222222222222" customWidth="1"/>
    <col min="10" max="10" width="18.8888888888889" customWidth="1"/>
    <col min="11" max="11" width="14" customWidth="1"/>
    <col min="12" max="12" width="18.1111111111111" customWidth="1"/>
    <col min="13" max="13" width="10.5555555555556" customWidth="1"/>
  </cols>
  <sheetData>
    <row r="1" spans="1:1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27</v>
      </c>
      <c r="G1" t="s">
        <v>38</v>
      </c>
      <c r="H1" t="s">
        <v>0</v>
      </c>
      <c r="I1" t="s">
        <v>13</v>
      </c>
      <c r="J1" t="s">
        <v>17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25</v>
      </c>
      <c r="R1" t="s">
        <v>45</v>
      </c>
    </row>
    <row r="2" spans="1:18">
      <c r="A2" t="s">
        <v>46</v>
      </c>
      <c r="B2" s="2">
        <v>46023</v>
      </c>
      <c r="C2" s="3">
        <v>0.281944444444444</v>
      </c>
      <c r="D2" t="s">
        <v>47</v>
      </c>
      <c r="E2">
        <v>167.74</v>
      </c>
      <c r="F2" t="s">
        <v>32</v>
      </c>
      <c r="G2" t="s">
        <v>48</v>
      </c>
      <c r="H2" t="s">
        <v>4</v>
      </c>
      <c r="I2" t="s">
        <v>15</v>
      </c>
      <c r="J2" t="s">
        <v>20</v>
      </c>
      <c r="K2">
        <v>26</v>
      </c>
      <c r="L2" t="s">
        <v>49</v>
      </c>
      <c r="M2">
        <v>0</v>
      </c>
      <c r="N2">
        <f>COUNTIF($A$2:$A$1001,A2)</f>
        <v>1</v>
      </c>
      <c r="P2" s="4">
        <f>HOUR(C2)</f>
        <v>6</v>
      </c>
      <c r="Q2" s="4" t="str">
        <f t="shared" ref="Q2:Q65" si="0">IF(N2&lt;6,"Late Night",IF(N2&lt;12,"Morning",IF(N2&lt;18,"Afternoon","Evening")))</f>
        <v>Late Night</v>
      </c>
      <c r="R2" s="4" t="str">
        <f t="shared" ref="R2:R65" si="1">IF(E2&lt;1000,"Low",IF(E2&lt;5000,"Medium",IF(E2&lt;15000,"High","Very High")))</f>
        <v>Low</v>
      </c>
    </row>
    <row r="3" spans="1:18">
      <c r="A3" t="s">
        <v>50</v>
      </c>
      <c r="B3" s="2">
        <v>46023</v>
      </c>
      <c r="C3" s="3">
        <v>0.791666666666667</v>
      </c>
      <c r="D3" t="s">
        <v>51</v>
      </c>
      <c r="E3">
        <v>195.2</v>
      </c>
      <c r="F3" t="s">
        <v>28</v>
      </c>
      <c r="G3" t="s">
        <v>48</v>
      </c>
      <c r="H3" t="s">
        <v>6</v>
      </c>
      <c r="I3" t="s">
        <v>15</v>
      </c>
      <c r="J3" t="s">
        <v>22</v>
      </c>
      <c r="K3">
        <v>34</v>
      </c>
      <c r="L3" t="s">
        <v>49</v>
      </c>
      <c r="M3">
        <v>0</v>
      </c>
      <c r="N3">
        <f t="shared" ref="N3:N66" si="2">COUNTIF($A$2:$A$1001,A3)</f>
        <v>1</v>
      </c>
      <c r="P3" s="4">
        <f t="shared" ref="P2:P65" si="3">HOUR(C3)</f>
        <v>19</v>
      </c>
      <c r="Q3" s="4" t="str">
        <f t="shared" si="0"/>
        <v>Late Night</v>
      </c>
      <c r="R3" s="4" t="str">
        <f t="shared" si="1"/>
        <v>Low</v>
      </c>
    </row>
    <row r="4" spans="1:18">
      <c r="A4" t="s">
        <v>52</v>
      </c>
      <c r="B4" s="2">
        <v>46023</v>
      </c>
      <c r="C4" s="3">
        <v>0.600694444444444</v>
      </c>
      <c r="D4" t="s">
        <v>53</v>
      </c>
      <c r="E4">
        <v>104.43</v>
      </c>
      <c r="F4" t="s">
        <v>29</v>
      </c>
      <c r="G4" t="s">
        <v>54</v>
      </c>
      <c r="H4" t="s">
        <v>3</v>
      </c>
      <c r="I4" t="s">
        <v>16</v>
      </c>
      <c r="J4" t="s">
        <v>18</v>
      </c>
      <c r="K4">
        <v>22</v>
      </c>
      <c r="L4" t="s">
        <v>49</v>
      </c>
      <c r="M4">
        <v>0</v>
      </c>
      <c r="N4">
        <f t="shared" si="2"/>
        <v>1</v>
      </c>
      <c r="P4" s="4">
        <f t="shared" si="3"/>
        <v>14</v>
      </c>
      <c r="Q4" s="4" t="str">
        <f t="shared" si="0"/>
        <v>Late Night</v>
      </c>
      <c r="R4" s="4" t="str">
        <f t="shared" si="1"/>
        <v>Low</v>
      </c>
    </row>
    <row r="5" spans="1:18">
      <c r="A5" t="s">
        <v>55</v>
      </c>
      <c r="B5" s="2">
        <v>46023</v>
      </c>
      <c r="C5" s="3">
        <v>0.425694444444444</v>
      </c>
      <c r="D5" t="s">
        <v>56</v>
      </c>
      <c r="E5">
        <v>185.69</v>
      </c>
      <c r="F5" t="s">
        <v>31</v>
      </c>
      <c r="G5" t="s">
        <v>48</v>
      </c>
      <c r="H5" t="s">
        <v>8</v>
      </c>
      <c r="I5" t="s">
        <v>15</v>
      </c>
      <c r="J5" t="s">
        <v>22</v>
      </c>
      <c r="K5">
        <v>48</v>
      </c>
      <c r="L5" t="s">
        <v>49</v>
      </c>
      <c r="M5">
        <v>0</v>
      </c>
      <c r="N5">
        <f t="shared" si="2"/>
        <v>1</v>
      </c>
      <c r="P5" s="4">
        <f t="shared" si="3"/>
        <v>10</v>
      </c>
      <c r="Q5" s="4" t="str">
        <f t="shared" si="0"/>
        <v>Late Night</v>
      </c>
      <c r="R5" s="4" t="str">
        <f t="shared" si="1"/>
        <v>Low</v>
      </c>
    </row>
    <row r="6" spans="1:18">
      <c r="A6" t="s">
        <v>57</v>
      </c>
      <c r="B6" s="2">
        <v>46023</v>
      </c>
      <c r="C6" s="3">
        <v>0.317361111111111</v>
      </c>
      <c r="D6" t="s">
        <v>58</v>
      </c>
      <c r="E6">
        <v>229.96</v>
      </c>
      <c r="F6" t="s">
        <v>31</v>
      </c>
      <c r="G6" t="s">
        <v>59</v>
      </c>
      <c r="H6" t="s">
        <v>5</v>
      </c>
      <c r="I6" t="s">
        <v>15</v>
      </c>
      <c r="J6" t="s">
        <v>18</v>
      </c>
      <c r="K6">
        <v>57</v>
      </c>
      <c r="L6" t="s">
        <v>49</v>
      </c>
      <c r="M6">
        <v>0</v>
      </c>
      <c r="N6">
        <f t="shared" si="2"/>
        <v>1</v>
      </c>
      <c r="P6" s="4">
        <f t="shared" si="3"/>
        <v>7</v>
      </c>
      <c r="Q6" s="4" t="str">
        <f t="shared" si="0"/>
        <v>Late Night</v>
      </c>
      <c r="R6" s="4" t="str">
        <f t="shared" si="1"/>
        <v>Low</v>
      </c>
    </row>
    <row r="7" spans="1:18">
      <c r="A7" t="s">
        <v>60</v>
      </c>
      <c r="B7" s="2">
        <v>46023</v>
      </c>
      <c r="C7" s="3">
        <v>0.858333333333333</v>
      </c>
      <c r="D7" t="s">
        <v>61</v>
      </c>
      <c r="E7">
        <v>101.61</v>
      </c>
      <c r="F7" t="s">
        <v>32</v>
      </c>
      <c r="G7" t="s">
        <v>48</v>
      </c>
      <c r="H7" t="s">
        <v>3</v>
      </c>
      <c r="I7" t="s">
        <v>15</v>
      </c>
      <c r="J7" t="s">
        <v>23</v>
      </c>
      <c r="K7">
        <v>55</v>
      </c>
      <c r="L7" t="s">
        <v>49</v>
      </c>
      <c r="M7">
        <v>0</v>
      </c>
      <c r="N7">
        <f t="shared" si="2"/>
        <v>1</v>
      </c>
      <c r="P7" s="4">
        <f t="shared" si="3"/>
        <v>20</v>
      </c>
      <c r="Q7" s="4" t="str">
        <f t="shared" si="0"/>
        <v>Late Night</v>
      </c>
      <c r="R7" s="4" t="str">
        <f t="shared" si="1"/>
        <v>Low</v>
      </c>
    </row>
    <row r="8" spans="1:18">
      <c r="A8" t="s">
        <v>62</v>
      </c>
      <c r="B8" s="2">
        <v>46024</v>
      </c>
      <c r="C8" s="3">
        <v>0.256944444444444</v>
      </c>
      <c r="D8" t="s">
        <v>63</v>
      </c>
      <c r="E8">
        <v>61.6</v>
      </c>
      <c r="F8" t="s">
        <v>28</v>
      </c>
      <c r="G8" t="s">
        <v>48</v>
      </c>
      <c r="H8" t="s">
        <v>6</v>
      </c>
      <c r="I8" t="s">
        <v>15</v>
      </c>
      <c r="J8" t="s">
        <v>21</v>
      </c>
      <c r="K8">
        <v>60</v>
      </c>
      <c r="L8" t="s">
        <v>49</v>
      </c>
      <c r="M8">
        <v>0</v>
      </c>
      <c r="N8">
        <f t="shared" si="2"/>
        <v>1</v>
      </c>
      <c r="P8" s="4">
        <f t="shared" si="3"/>
        <v>6</v>
      </c>
      <c r="Q8" s="4" t="str">
        <f t="shared" si="0"/>
        <v>Late Night</v>
      </c>
      <c r="R8" s="4" t="str">
        <f t="shared" si="1"/>
        <v>Low</v>
      </c>
    </row>
    <row r="9" spans="1:18">
      <c r="A9" t="s">
        <v>64</v>
      </c>
      <c r="B9" s="2">
        <v>46024</v>
      </c>
      <c r="C9" s="3">
        <v>0.774305555555556</v>
      </c>
      <c r="D9" t="s">
        <v>65</v>
      </c>
      <c r="E9">
        <v>657.19</v>
      </c>
      <c r="F9" t="s">
        <v>30</v>
      </c>
      <c r="G9" t="s">
        <v>66</v>
      </c>
      <c r="H9" t="s">
        <v>5</v>
      </c>
      <c r="I9" t="s">
        <v>15</v>
      </c>
      <c r="J9" t="s">
        <v>24</v>
      </c>
      <c r="K9">
        <v>36</v>
      </c>
      <c r="L9" t="s">
        <v>49</v>
      </c>
      <c r="M9">
        <v>0</v>
      </c>
      <c r="N9">
        <f t="shared" si="2"/>
        <v>1</v>
      </c>
      <c r="P9" s="4">
        <f t="shared" si="3"/>
        <v>18</v>
      </c>
      <c r="Q9" s="4" t="str">
        <f t="shared" si="0"/>
        <v>Late Night</v>
      </c>
      <c r="R9" s="4" t="str">
        <f t="shared" si="1"/>
        <v>Low</v>
      </c>
    </row>
    <row r="10" spans="1:18">
      <c r="A10" t="s">
        <v>67</v>
      </c>
      <c r="B10" s="2">
        <v>46024</v>
      </c>
      <c r="C10" s="3">
        <v>0.925</v>
      </c>
      <c r="D10" t="s">
        <v>68</v>
      </c>
      <c r="E10">
        <v>331.66</v>
      </c>
      <c r="F10" t="s">
        <v>31</v>
      </c>
      <c r="G10" t="s">
        <v>48</v>
      </c>
      <c r="H10" t="s">
        <v>5</v>
      </c>
      <c r="I10" t="s">
        <v>16</v>
      </c>
      <c r="J10" t="s">
        <v>24</v>
      </c>
      <c r="K10">
        <v>53</v>
      </c>
      <c r="L10" t="s">
        <v>49</v>
      </c>
      <c r="M10">
        <v>0</v>
      </c>
      <c r="N10">
        <f t="shared" si="2"/>
        <v>1</v>
      </c>
      <c r="P10" s="4">
        <f t="shared" si="3"/>
        <v>22</v>
      </c>
      <c r="Q10" s="4" t="str">
        <f t="shared" si="0"/>
        <v>Late Night</v>
      </c>
      <c r="R10" s="4" t="str">
        <f t="shared" si="1"/>
        <v>Low</v>
      </c>
    </row>
    <row r="11" spans="1:18">
      <c r="A11" t="s">
        <v>69</v>
      </c>
      <c r="B11" s="2">
        <v>46024</v>
      </c>
      <c r="C11" s="3">
        <v>0.445833333333333</v>
      </c>
      <c r="D11" t="s">
        <v>70</v>
      </c>
      <c r="E11">
        <v>104.83</v>
      </c>
      <c r="F11" t="s">
        <v>31</v>
      </c>
      <c r="G11" t="s">
        <v>71</v>
      </c>
      <c r="H11" t="s">
        <v>10</v>
      </c>
      <c r="I11" t="s">
        <v>15</v>
      </c>
      <c r="J11" t="s">
        <v>24</v>
      </c>
      <c r="K11">
        <v>50</v>
      </c>
      <c r="L11" t="s">
        <v>49</v>
      </c>
      <c r="M11">
        <v>0</v>
      </c>
      <c r="N11">
        <f t="shared" si="2"/>
        <v>1</v>
      </c>
      <c r="P11" s="4">
        <f t="shared" si="3"/>
        <v>10</v>
      </c>
      <c r="Q11" s="4" t="str">
        <f t="shared" si="0"/>
        <v>Late Night</v>
      </c>
      <c r="R11" s="4" t="str">
        <f t="shared" si="1"/>
        <v>Low</v>
      </c>
    </row>
    <row r="12" spans="1:18">
      <c r="A12" t="s">
        <v>72</v>
      </c>
      <c r="B12" s="2">
        <v>46024</v>
      </c>
      <c r="C12" s="3">
        <v>0.418055555555556</v>
      </c>
      <c r="D12" t="s">
        <v>73</v>
      </c>
      <c r="E12">
        <v>225.8</v>
      </c>
      <c r="F12" t="s">
        <v>31</v>
      </c>
      <c r="G12" t="s">
        <v>66</v>
      </c>
      <c r="H12" t="s">
        <v>7</v>
      </c>
      <c r="I12" t="s">
        <v>15</v>
      </c>
      <c r="J12" t="s">
        <v>22</v>
      </c>
      <c r="K12">
        <v>30</v>
      </c>
      <c r="L12" t="s">
        <v>49</v>
      </c>
      <c r="M12">
        <v>0</v>
      </c>
      <c r="N12">
        <f t="shared" si="2"/>
        <v>1</v>
      </c>
      <c r="P12" s="4">
        <f t="shared" si="3"/>
        <v>10</v>
      </c>
      <c r="Q12" s="4" t="str">
        <f t="shared" si="0"/>
        <v>Late Night</v>
      </c>
      <c r="R12" s="4" t="str">
        <f t="shared" si="1"/>
        <v>Low</v>
      </c>
    </row>
    <row r="13" spans="1:18">
      <c r="A13" t="s">
        <v>74</v>
      </c>
      <c r="B13" s="2">
        <v>46024</v>
      </c>
      <c r="C13" s="3">
        <v>0.980555555555556</v>
      </c>
      <c r="D13" t="s">
        <v>75</v>
      </c>
      <c r="E13">
        <v>41.32</v>
      </c>
      <c r="F13" t="s">
        <v>29</v>
      </c>
      <c r="G13" t="s">
        <v>59</v>
      </c>
      <c r="H13" t="s">
        <v>3</v>
      </c>
      <c r="I13" t="s">
        <v>15</v>
      </c>
      <c r="J13" t="s">
        <v>19</v>
      </c>
      <c r="K13">
        <v>31</v>
      </c>
      <c r="L13" t="s">
        <v>49</v>
      </c>
      <c r="M13">
        <v>0</v>
      </c>
      <c r="N13">
        <f t="shared" si="2"/>
        <v>1</v>
      </c>
      <c r="P13" s="4">
        <f t="shared" si="3"/>
        <v>23</v>
      </c>
      <c r="Q13" s="4" t="str">
        <f t="shared" si="0"/>
        <v>Late Night</v>
      </c>
      <c r="R13" s="4" t="str">
        <f t="shared" si="1"/>
        <v>Low</v>
      </c>
    </row>
    <row r="14" spans="1:18">
      <c r="A14" t="s">
        <v>76</v>
      </c>
      <c r="B14" s="2">
        <v>46025</v>
      </c>
      <c r="C14" s="3">
        <v>0.836805555555556</v>
      </c>
      <c r="D14" t="s">
        <v>77</v>
      </c>
      <c r="E14">
        <v>25.1</v>
      </c>
      <c r="F14" t="s">
        <v>31</v>
      </c>
      <c r="G14" t="s">
        <v>59</v>
      </c>
      <c r="H14" t="s">
        <v>7</v>
      </c>
      <c r="I14" t="s">
        <v>15</v>
      </c>
      <c r="J14" t="s">
        <v>20</v>
      </c>
      <c r="K14">
        <v>50</v>
      </c>
      <c r="L14" t="s">
        <v>49</v>
      </c>
      <c r="M14">
        <v>0</v>
      </c>
      <c r="N14">
        <f t="shared" si="2"/>
        <v>1</v>
      </c>
      <c r="P14" s="4">
        <f t="shared" si="3"/>
        <v>20</v>
      </c>
      <c r="Q14" s="4" t="str">
        <f t="shared" si="0"/>
        <v>Late Night</v>
      </c>
      <c r="R14" s="4" t="str">
        <f t="shared" si="1"/>
        <v>Low</v>
      </c>
    </row>
    <row r="15" spans="1:18">
      <c r="A15" t="s">
        <v>78</v>
      </c>
      <c r="B15" s="2">
        <v>46025</v>
      </c>
      <c r="C15" s="3">
        <v>0.159027777777778</v>
      </c>
      <c r="D15" t="s">
        <v>61</v>
      </c>
      <c r="E15">
        <v>536</v>
      </c>
      <c r="F15" t="s">
        <v>30</v>
      </c>
      <c r="G15" t="s">
        <v>71</v>
      </c>
      <c r="H15" t="s">
        <v>5</v>
      </c>
      <c r="I15" t="s">
        <v>15</v>
      </c>
      <c r="J15" t="s">
        <v>24</v>
      </c>
      <c r="K15">
        <v>46</v>
      </c>
      <c r="L15" t="s">
        <v>49</v>
      </c>
      <c r="M15">
        <v>0</v>
      </c>
      <c r="N15">
        <f t="shared" si="2"/>
        <v>1</v>
      </c>
      <c r="P15" s="4">
        <f t="shared" si="3"/>
        <v>3</v>
      </c>
      <c r="Q15" s="4" t="str">
        <f t="shared" si="0"/>
        <v>Late Night</v>
      </c>
      <c r="R15" s="4" t="str">
        <f t="shared" si="1"/>
        <v>Low</v>
      </c>
    </row>
    <row r="16" spans="1:18">
      <c r="A16" t="s">
        <v>79</v>
      </c>
      <c r="B16" s="2">
        <v>46025</v>
      </c>
      <c r="C16" s="3">
        <v>0.329861111111111</v>
      </c>
      <c r="D16" t="s">
        <v>80</v>
      </c>
      <c r="E16">
        <v>228.05</v>
      </c>
      <c r="F16" t="s">
        <v>28</v>
      </c>
      <c r="G16" t="s">
        <v>48</v>
      </c>
      <c r="H16" t="s">
        <v>4</v>
      </c>
      <c r="I16" t="s">
        <v>14</v>
      </c>
      <c r="J16" t="s">
        <v>23</v>
      </c>
      <c r="K16">
        <v>60</v>
      </c>
      <c r="L16" t="s">
        <v>49</v>
      </c>
      <c r="M16">
        <v>0</v>
      </c>
      <c r="N16">
        <f t="shared" si="2"/>
        <v>1</v>
      </c>
      <c r="P16" s="4">
        <f t="shared" si="3"/>
        <v>7</v>
      </c>
      <c r="Q16" s="4" t="str">
        <f t="shared" si="0"/>
        <v>Late Night</v>
      </c>
      <c r="R16" s="4" t="str">
        <f t="shared" si="1"/>
        <v>Low</v>
      </c>
    </row>
    <row r="17" spans="1:18">
      <c r="A17" t="s">
        <v>81</v>
      </c>
      <c r="B17" s="2">
        <v>46025</v>
      </c>
      <c r="C17" s="3">
        <v>0.964583333333333</v>
      </c>
      <c r="D17" t="s">
        <v>82</v>
      </c>
      <c r="E17">
        <v>172.83</v>
      </c>
      <c r="F17" t="s">
        <v>32</v>
      </c>
      <c r="G17" t="s">
        <v>48</v>
      </c>
      <c r="H17" t="s">
        <v>5</v>
      </c>
      <c r="I17" t="s">
        <v>14</v>
      </c>
      <c r="J17" t="s">
        <v>24</v>
      </c>
      <c r="K17">
        <v>53</v>
      </c>
      <c r="L17" t="s">
        <v>49</v>
      </c>
      <c r="M17">
        <v>0</v>
      </c>
      <c r="N17">
        <f t="shared" si="2"/>
        <v>1</v>
      </c>
      <c r="P17" s="4">
        <f t="shared" si="3"/>
        <v>23</v>
      </c>
      <c r="Q17" s="4" t="str">
        <f t="shared" si="0"/>
        <v>Late Night</v>
      </c>
      <c r="R17" s="4" t="str">
        <f t="shared" si="1"/>
        <v>Low</v>
      </c>
    </row>
    <row r="18" spans="1:18">
      <c r="A18" t="s">
        <v>83</v>
      </c>
      <c r="B18" s="2">
        <v>46025</v>
      </c>
      <c r="C18" s="3">
        <v>0.0861111111111111</v>
      </c>
      <c r="D18" t="s">
        <v>84</v>
      </c>
      <c r="E18">
        <v>228.76</v>
      </c>
      <c r="F18" t="s">
        <v>31</v>
      </c>
      <c r="G18" t="s">
        <v>48</v>
      </c>
      <c r="H18" t="s">
        <v>7</v>
      </c>
      <c r="I18" t="s">
        <v>15</v>
      </c>
      <c r="J18" t="s">
        <v>18</v>
      </c>
      <c r="K18">
        <v>61</v>
      </c>
      <c r="L18" t="s">
        <v>85</v>
      </c>
      <c r="M18">
        <v>1</v>
      </c>
      <c r="N18">
        <f t="shared" si="2"/>
        <v>1</v>
      </c>
      <c r="P18" s="4">
        <f t="shared" si="3"/>
        <v>2</v>
      </c>
      <c r="Q18" s="4" t="str">
        <f t="shared" si="0"/>
        <v>Late Night</v>
      </c>
      <c r="R18" s="4" t="str">
        <f t="shared" si="1"/>
        <v>Low</v>
      </c>
    </row>
    <row r="19" spans="1:18">
      <c r="A19" t="s">
        <v>86</v>
      </c>
      <c r="B19" s="2">
        <v>46026</v>
      </c>
      <c r="C19" s="3">
        <v>0.890277777777778</v>
      </c>
      <c r="D19" t="s">
        <v>87</v>
      </c>
      <c r="E19">
        <v>4564.81</v>
      </c>
      <c r="F19" t="s">
        <v>30</v>
      </c>
      <c r="G19" t="s">
        <v>66</v>
      </c>
      <c r="I19" t="s">
        <v>14</v>
      </c>
      <c r="J19" t="s">
        <v>22</v>
      </c>
      <c r="K19">
        <v>27</v>
      </c>
      <c r="L19" t="s">
        <v>49</v>
      </c>
      <c r="M19">
        <v>0</v>
      </c>
      <c r="N19">
        <f t="shared" si="2"/>
        <v>1</v>
      </c>
      <c r="O19" t="s">
        <v>43</v>
      </c>
      <c r="P19" s="4">
        <f t="shared" si="3"/>
        <v>21</v>
      </c>
      <c r="Q19" s="4" t="str">
        <f t="shared" si="0"/>
        <v>Late Night</v>
      </c>
      <c r="R19" s="4" t="str">
        <f t="shared" si="1"/>
        <v>Medium</v>
      </c>
    </row>
    <row r="20" spans="1:18">
      <c r="A20" t="s">
        <v>88</v>
      </c>
      <c r="B20" s="2">
        <v>46026</v>
      </c>
      <c r="C20" s="3">
        <v>0.839583333333333</v>
      </c>
      <c r="D20" t="s">
        <v>89</v>
      </c>
      <c r="E20">
        <v>432.29</v>
      </c>
      <c r="F20" t="s">
        <v>29</v>
      </c>
      <c r="G20" t="s">
        <v>48</v>
      </c>
      <c r="H20" t="s">
        <v>6</v>
      </c>
      <c r="I20" t="s">
        <v>14</v>
      </c>
      <c r="J20" t="s">
        <v>19</v>
      </c>
      <c r="K20">
        <v>48</v>
      </c>
      <c r="L20" t="s">
        <v>49</v>
      </c>
      <c r="M20">
        <v>0</v>
      </c>
      <c r="N20">
        <f t="shared" si="2"/>
        <v>1</v>
      </c>
      <c r="P20" s="4">
        <f t="shared" si="3"/>
        <v>20</v>
      </c>
      <c r="Q20" s="4" t="str">
        <f t="shared" si="0"/>
        <v>Late Night</v>
      </c>
      <c r="R20" s="4" t="str">
        <f t="shared" si="1"/>
        <v>Low</v>
      </c>
    </row>
    <row r="21" spans="1:18">
      <c r="A21" t="s">
        <v>90</v>
      </c>
      <c r="B21" s="2">
        <v>46026</v>
      </c>
      <c r="C21" s="3">
        <v>0.0715277777777778</v>
      </c>
      <c r="D21" t="s">
        <v>91</v>
      </c>
      <c r="E21">
        <v>63.72</v>
      </c>
      <c r="F21" t="s">
        <v>29</v>
      </c>
      <c r="G21" t="s">
        <v>59</v>
      </c>
      <c r="H21" t="s">
        <v>10</v>
      </c>
      <c r="I21" t="s">
        <v>14</v>
      </c>
      <c r="J21" t="s">
        <v>18</v>
      </c>
      <c r="K21">
        <v>23</v>
      </c>
      <c r="L21" t="s">
        <v>49</v>
      </c>
      <c r="M21">
        <v>0</v>
      </c>
      <c r="N21">
        <f t="shared" si="2"/>
        <v>1</v>
      </c>
      <c r="P21" s="4">
        <f t="shared" si="3"/>
        <v>1</v>
      </c>
      <c r="Q21" s="4" t="str">
        <f t="shared" si="0"/>
        <v>Late Night</v>
      </c>
      <c r="R21" s="4" t="str">
        <f t="shared" si="1"/>
        <v>Low</v>
      </c>
    </row>
    <row r="22" spans="1:18">
      <c r="A22" t="s">
        <v>92</v>
      </c>
      <c r="B22" s="2">
        <v>46026</v>
      </c>
      <c r="C22" s="3">
        <v>0.959027777777778</v>
      </c>
      <c r="D22" t="s">
        <v>93</v>
      </c>
      <c r="E22">
        <v>33.77</v>
      </c>
      <c r="F22" t="s">
        <v>30</v>
      </c>
      <c r="G22" t="s">
        <v>71</v>
      </c>
      <c r="H22" t="s">
        <v>10</v>
      </c>
      <c r="I22" t="s">
        <v>15</v>
      </c>
      <c r="J22" t="s">
        <v>19</v>
      </c>
      <c r="K22">
        <v>18</v>
      </c>
      <c r="L22" t="s">
        <v>49</v>
      </c>
      <c r="M22">
        <v>0</v>
      </c>
      <c r="N22">
        <f t="shared" si="2"/>
        <v>1</v>
      </c>
      <c r="P22" s="4">
        <f t="shared" si="3"/>
        <v>23</v>
      </c>
      <c r="Q22" s="4" t="str">
        <f t="shared" si="0"/>
        <v>Late Night</v>
      </c>
      <c r="R22" s="4" t="str">
        <f t="shared" si="1"/>
        <v>Low</v>
      </c>
    </row>
    <row r="23" spans="1:18">
      <c r="A23" t="s">
        <v>94</v>
      </c>
      <c r="B23" s="2">
        <v>46026</v>
      </c>
      <c r="C23" s="3">
        <v>0.466666666666667</v>
      </c>
      <c r="D23" t="s">
        <v>95</v>
      </c>
      <c r="E23">
        <v>520.37</v>
      </c>
      <c r="F23" t="s">
        <v>29</v>
      </c>
      <c r="G23" t="s">
        <v>66</v>
      </c>
      <c r="H23" t="s">
        <v>10</v>
      </c>
      <c r="I23" t="s">
        <v>15</v>
      </c>
      <c r="J23" t="s">
        <v>18</v>
      </c>
      <c r="K23">
        <v>24</v>
      </c>
      <c r="L23" t="s">
        <v>49</v>
      </c>
      <c r="M23">
        <v>0</v>
      </c>
      <c r="N23">
        <f t="shared" si="2"/>
        <v>1</v>
      </c>
      <c r="P23" s="4">
        <f t="shared" si="3"/>
        <v>11</v>
      </c>
      <c r="Q23" s="4" t="str">
        <f t="shared" si="0"/>
        <v>Late Night</v>
      </c>
      <c r="R23" s="4" t="str">
        <f t="shared" si="1"/>
        <v>Low</v>
      </c>
    </row>
    <row r="24" spans="1:18">
      <c r="A24" t="s">
        <v>96</v>
      </c>
      <c r="B24" s="2">
        <v>46026</v>
      </c>
      <c r="C24" s="3">
        <v>0.235416666666667</v>
      </c>
      <c r="D24" t="s">
        <v>97</v>
      </c>
      <c r="E24">
        <v>426.71</v>
      </c>
      <c r="F24" t="s">
        <v>29</v>
      </c>
      <c r="G24" t="s">
        <v>59</v>
      </c>
      <c r="H24" t="s">
        <v>6</v>
      </c>
      <c r="I24" t="s">
        <v>15</v>
      </c>
      <c r="J24" t="s">
        <v>18</v>
      </c>
      <c r="K24">
        <v>44</v>
      </c>
      <c r="L24" t="s">
        <v>49</v>
      </c>
      <c r="M24">
        <v>0</v>
      </c>
      <c r="N24">
        <f t="shared" si="2"/>
        <v>1</v>
      </c>
      <c r="P24" s="4">
        <f t="shared" si="3"/>
        <v>5</v>
      </c>
      <c r="Q24" s="4" t="str">
        <f t="shared" si="0"/>
        <v>Late Night</v>
      </c>
      <c r="R24" s="4" t="str">
        <f t="shared" si="1"/>
        <v>Low</v>
      </c>
    </row>
    <row r="25" spans="1:18">
      <c r="A25" t="s">
        <v>98</v>
      </c>
      <c r="B25" s="2">
        <v>46027</v>
      </c>
      <c r="C25" s="3">
        <v>0.0423611111111111</v>
      </c>
      <c r="D25" t="s">
        <v>99</v>
      </c>
      <c r="E25">
        <v>322.16</v>
      </c>
      <c r="F25" t="s">
        <v>31</v>
      </c>
      <c r="G25" t="s">
        <v>48</v>
      </c>
      <c r="H25" t="s">
        <v>10</v>
      </c>
      <c r="I25" t="s">
        <v>15</v>
      </c>
      <c r="J25" t="s">
        <v>21</v>
      </c>
      <c r="K25">
        <v>38</v>
      </c>
      <c r="L25" t="s">
        <v>49</v>
      </c>
      <c r="M25">
        <v>0</v>
      </c>
      <c r="N25">
        <f t="shared" si="2"/>
        <v>1</v>
      </c>
      <c r="P25" s="4">
        <f t="shared" si="3"/>
        <v>1</v>
      </c>
      <c r="Q25" s="4" t="str">
        <f t="shared" si="0"/>
        <v>Late Night</v>
      </c>
      <c r="R25" s="4" t="str">
        <f t="shared" si="1"/>
        <v>Low</v>
      </c>
    </row>
    <row r="26" spans="1:18">
      <c r="A26" t="s">
        <v>100</v>
      </c>
      <c r="B26" s="2">
        <v>46027</v>
      </c>
      <c r="C26" s="3">
        <v>0.846527777777778</v>
      </c>
      <c r="D26" t="s">
        <v>101</v>
      </c>
      <c r="E26">
        <v>80.41</v>
      </c>
      <c r="F26" t="s">
        <v>31</v>
      </c>
      <c r="G26" t="s">
        <v>66</v>
      </c>
      <c r="H26" t="s">
        <v>3</v>
      </c>
      <c r="I26" t="s">
        <v>15</v>
      </c>
      <c r="J26" t="s">
        <v>21</v>
      </c>
      <c r="K26">
        <v>45</v>
      </c>
      <c r="L26" t="s">
        <v>49</v>
      </c>
      <c r="M26">
        <v>0</v>
      </c>
      <c r="N26">
        <f t="shared" si="2"/>
        <v>1</v>
      </c>
      <c r="P26" s="4">
        <f t="shared" si="3"/>
        <v>20</v>
      </c>
      <c r="Q26" s="4" t="str">
        <f t="shared" si="0"/>
        <v>Late Night</v>
      </c>
      <c r="R26" s="4" t="str">
        <f t="shared" si="1"/>
        <v>Low</v>
      </c>
    </row>
    <row r="27" spans="1:18">
      <c r="A27" t="s">
        <v>102</v>
      </c>
      <c r="B27" s="2">
        <v>46027</v>
      </c>
      <c r="C27" s="3">
        <v>0</v>
      </c>
      <c r="D27" t="s">
        <v>103</v>
      </c>
      <c r="E27">
        <v>260.68</v>
      </c>
      <c r="F27" t="s">
        <v>32</v>
      </c>
      <c r="G27" t="s">
        <v>59</v>
      </c>
      <c r="H27" t="s">
        <v>6</v>
      </c>
      <c r="I27" t="s">
        <v>15</v>
      </c>
      <c r="J27" t="s">
        <v>20</v>
      </c>
      <c r="K27">
        <v>33</v>
      </c>
      <c r="L27" t="s">
        <v>49</v>
      </c>
      <c r="M27">
        <v>0</v>
      </c>
      <c r="N27">
        <f t="shared" si="2"/>
        <v>1</v>
      </c>
      <c r="P27" s="4">
        <f t="shared" si="3"/>
        <v>0</v>
      </c>
      <c r="Q27" s="4" t="str">
        <f t="shared" si="0"/>
        <v>Late Night</v>
      </c>
      <c r="R27" s="4" t="str">
        <f t="shared" si="1"/>
        <v>Low</v>
      </c>
    </row>
    <row r="28" spans="1:18">
      <c r="A28" t="s">
        <v>104</v>
      </c>
      <c r="B28" s="2">
        <v>46027</v>
      </c>
      <c r="C28" s="3">
        <v>0.483333333333333</v>
      </c>
      <c r="D28" t="s">
        <v>105</v>
      </c>
      <c r="E28">
        <v>87.94</v>
      </c>
      <c r="F28" t="s">
        <v>29</v>
      </c>
      <c r="G28" t="s">
        <v>48</v>
      </c>
      <c r="H28" t="s">
        <v>10</v>
      </c>
      <c r="I28" t="s">
        <v>14</v>
      </c>
      <c r="J28" t="s">
        <v>22</v>
      </c>
      <c r="K28">
        <v>63</v>
      </c>
      <c r="L28" t="s">
        <v>49</v>
      </c>
      <c r="M28">
        <v>0</v>
      </c>
      <c r="N28">
        <f t="shared" si="2"/>
        <v>1</v>
      </c>
      <c r="P28" s="4">
        <f t="shared" si="3"/>
        <v>11</v>
      </c>
      <c r="Q28" s="4" t="str">
        <f t="shared" si="0"/>
        <v>Late Night</v>
      </c>
      <c r="R28" s="4" t="str">
        <f t="shared" si="1"/>
        <v>Low</v>
      </c>
    </row>
    <row r="29" spans="1:18">
      <c r="A29" t="s">
        <v>106</v>
      </c>
      <c r="B29" s="2">
        <v>46027</v>
      </c>
      <c r="C29" s="3">
        <v>0.880555555555556</v>
      </c>
      <c r="D29" t="s">
        <v>51</v>
      </c>
      <c r="E29">
        <v>351.7</v>
      </c>
      <c r="F29" t="s">
        <v>29</v>
      </c>
      <c r="G29" t="s">
        <v>48</v>
      </c>
      <c r="H29" t="s">
        <v>6</v>
      </c>
      <c r="I29" t="s">
        <v>14</v>
      </c>
      <c r="J29" t="s">
        <v>23</v>
      </c>
      <c r="K29">
        <v>40</v>
      </c>
      <c r="L29" t="s">
        <v>49</v>
      </c>
      <c r="M29">
        <v>0</v>
      </c>
      <c r="N29">
        <f t="shared" si="2"/>
        <v>1</v>
      </c>
      <c r="P29" s="4">
        <f t="shared" si="3"/>
        <v>21</v>
      </c>
      <c r="Q29" s="4" t="str">
        <f t="shared" si="0"/>
        <v>Late Night</v>
      </c>
      <c r="R29" s="4" t="str">
        <f t="shared" si="1"/>
        <v>Low</v>
      </c>
    </row>
    <row r="30" spans="1:18">
      <c r="A30" t="s">
        <v>107</v>
      </c>
      <c r="B30" s="2">
        <v>46028</v>
      </c>
      <c r="C30" s="3">
        <v>0.469444444444444</v>
      </c>
      <c r="D30" t="s">
        <v>108</v>
      </c>
      <c r="E30">
        <v>484.28</v>
      </c>
      <c r="F30" t="s">
        <v>28</v>
      </c>
      <c r="G30" t="s">
        <v>71</v>
      </c>
      <c r="H30" t="s">
        <v>7</v>
      </c>
      <c r="I30" t="s">
        <v>14</v>
      </c>
      <c r="J30" t="s">
        <v>23</v>
      </c>
      <c r="K30">
        <v>37</v>
      </c>
      <c r="L30" t="s">
        <v>49</v>
      </c>
      <c r="M30">
        <v>0</v>
      </c>
      <c r="N30">
        <f t="shared" si="2"/>
        <v>1</v>
      </c>
      <c r="P30" s="4">
        <f t="shared" si="3"/>
        <v>11</v>
      </c>
      <c r="Q30" s="4" t="str">
        <f t="shared" si="0"/>
        <v>Late Night</v>
      </c>
      <c r="R30" s="4" t="str">
        <f t="shared" si="1"/>
        <v>Low</v>
      </c>
    </row>
    <row r="31" spans="1:18">
      <c r="A31" t="s">
        <v>109</v>
      </c>
      <c r="B31" s="2">
        <v>46028</v>
      </c>
      <c r="C31" s="3">
        <v>0.672222222222222</v>
      </c>
      <c r="D31" t="s">
        <v>110</v>
      </c>
      <c r="E31">
        <v>105.27</v>
      </c>
      <c r="F31" t="s">
        <v>31</v>
      </c>
      <c r="G31" t="s">
        <v>59</v>
      </c>
      <c r="H31" t="s">
        <v>8</v>
      </c>
      <c r="I31" t="s">
        <v>15</v>
      </c>
      <c r="J31" t="s">
        <v>23</v>
      </c>
      <c r="K31">
        <v>55</v>
      </c>
      <c r="L31" t="s">
        <v>49</v>
      </c>
      <c r="M31">
        <v>0</v>
      </c>
      <c r="N31">
        <f t="shared" si="2"/>
        <v>1</v>
      </c>
      <c r="P31" s="4">
        <f t="shared" si="3"/>
        <v>16</v>
      </c>
      <c r="Q31" s="4" t="str">
        <f t="shared" si="0"/>
        <v>Late Night</v>
      </c>
      <c r="R31" s="4" t="str">
        <f t="shared" si="1"/>
        <v>Low</v>
      </c>
    </row>
    <row r="32" spans="1:18">
      <c r="A32" t="s">
        <v>111</v>
      </c>
      <c r="B32" s="2">
        <v>46028</v>
      </c>
      <c r="C32" s="3">
        <v>0.381944444444444</v>
      </c>
      <c r="D32" t="s">
        <v>112</v>
      </c>
      <c r="E32">
        <v>562.17</v>
      </c>
      <c r="F32" t="s">
        <v>31</v>
      </c>
      <c r="G32" t="s">
        <v>66</v>
      </c>
      <c r="H32" t="s">
        <v>8</v>
      </c>
      <c r="I32" t="s">
        <v>15</v>
      </c>
      <c r="J32" t="s">
        <v>18</v>
      </c>
      <c r="K32">
        <v>42</v>
      </c>
      <c r="L32" t="s">
        <v>49</v>
      </c>
      <c r="M32">
        <v>0</v>
      </c>
      <c r="N32">
        <f t="shared" si="2"/>
        <v>1</v>
      </c>
      <c r="P32" s="4">
        <f t="shared" si="3"/>
        <v>9</v>
      </c>
      <c r="Q32" s="4" t="str">
        <f t="shared" si="0"/>
        <v>Late Night</v>
      </c>
      <c r="R32" s="4" t="str">
        <f t="shared" si="1"/>
        <v>Low</v>
      </c>
    </row>
    <row r="33" spans="1:18">
      <c r="A33" t="s">
        <v>113</v>
      </c>
      <c r="B33" s="2">
        <v>46028</v>
      </c>
      <c r="C33" s="3">
        <v>0.634722222222222</v>
      </c>
      <c r="D33" t="s">
        <v>114</v>
      </c>
      <c r="E33">
        <v>203.33</v>
      </c>
      <c r="F33" t="s">
        <v>29</v>
      </c>
      <c r="G33" t="s">
        <v>66</v>
      </c>
      <c r="H33" t="s">
        <v>3</v>
      </c>
      <c r="I33" t="s">
        <v>15</v>
      </c>
      <c r="J33" t="s">
        <v>21</v>
      </c>
      <c r="K33">
        <v>45</v>
      </c>
      <c r="L33" t="s">
        <v>49</v>
      </c>
      <c r="M33">
        <v>0</v>
      </c>
      <c r="N33">
        <f t="shared" si="2"/>
        <v>1</v>
      </c>
      <c r="P33" s="4">
        <f t="shared" si="3"/>
        <v>15</v>
      </c>
      <c r="Q33" s="4" t="str">
        <f t="shared" si="0"/>
        <v>Late Night</v>
      </c>
      <c r="R33" s="4" t="str">
        <f t="shared" si="1"/>
        <v>Low</v>
      </c>
    </row>
    <row r="34" spans="1:18">
      <c r="A34" t="s">
        <v>115</v>
      </c>
      <c r="B34" s="2">
        <v>46028</v>
      </c>
      <c r="C34" s="3">
        <v>0.599305555555556</v>
      </c>
      <c r="D34" t="s">
        <v>116</v>
      </c>
      <c r="E34">
        <v>296.45</v>
      </c>
      <c r="F34" t="s">
        <v>28</v>
      </c>
      <c r="G34" t="s">
        <v>59</v>
      </c>
      <c r="H34" t="s">
        <v>9</v>
      </c>
      <c r="I34" t="s">
        <v>15</v>
      </c>
      <c r="J34" t="s">
        <v>22</v>
      </c>
      <c r="K34">
        <v>22</v>
      </c>
      <c r="L34" t="s">
        <v>49</v>
      </c>
      <c r="M34">
        <v>0</v>
      </c>
      <c r="N34">
        <f t="shared" si="2"/>
        <v>1</v>
      </c>
      <c r="P34" s="4">
        <f t="shared" si="3"/>
        <v>14</v>
      </c>
      <c r="Q34" s="4" t="str">
        <f t="shared" si="0"/>
        <v>Late Night</v>
      </c>
      <c r="R34" s="4" t="str">
        <f t="shared" si="1"/>
        <v>Low</v>
      </c>
    </row>
    <row r="35" spans="1:18">
      <c r="A35" t="s">
        <v>117</v>
      </c>
      <c r="B35" s="2">
        <v>46028</v>
      </c>
      <c r="C35" s="3">
        <v>0.609027777777778</v>
      </c>
      <c r="D35" t="s">
        <v>118</v>
      </c>
      <c r="E35">
        <v>48.93</v>
      </c>
      <c r="F35" t="s">
        <v>31</v>
      </c>
      <c r="G35" t="s">
        <v>54</v>
      </c>
      <c r="H35" t="s">
        <v>4</v>
      </c>
      <c r="I35" t="s">
        <v>15</v>
      </c>
      <c r="J35" t="s">
        <v>18</v>
      </c>
      <c r="K35">
        <v>38</v>
      </c>
      <c r="L35" t="s">
        <v>49</v>
      </c>
      <c r="M35">
        <v>0</v>
      </c>
      <c r="N35">
        <f t="shared" si="2"/>
        <v>1</v>
      </c>
      <c r="P35" s="4">
        <f t="shared" si="3"/>
        <v>14</v>
      </c>
      <c r="Q35" s="4" t="str">
        <f t="shared" si="0"/>
        <v>Late Night</v>
      </c>
      <c r="R35" s="4" t="str">
        <f t="shared" si="1"/>
        <v>Low</v>
      </c>
    </row>
    <row r="36" spans="1:18">
      <c r="A36" t="s">
        <v>119</v>
      </c>
      <c r="B36" s="2">
        <v>46029</v>
      </c>
      <c r="C36" s="3">
        <v>0.7875</v>
      </c>
      <c r="D36" t="s">
        <v>99</v>
      </c>
      <c r="E36">
        <v>228.66</v>
      </c>
      <c r="F36" t="s">
        <v>28</v>
      </c>
      <c r="G36" t="s">
        <v>54</v>
      </c>
      <c r="H36" t="s">
        <v>10</v>
      </c>
      <c r="I36" t="s">
        <v>15</v>
      </c>
      <c r="J36" t="s">
        <v>19</v>
      </c>
      <c r="K36">
        <v>35</v>
      </c>
      <c r="L36" t="s">
        <v>49</v>
      </c>
      <c r="M36">
        <v>0</v>
      </c>
      <c r="N36">
        <f t="shared" si="2"/>
        <v>1</v>
      </c>
      <c r="P36" s="4">
        <f t="shared" si="3"/>
        <v>18</v>
      </c>
      <c r="Q36" s="4" t="str">
        <f t="shared" si="0"/>
        <v>Late Night</v>
      </c>
      <c r="R36" s="4" t="str">
        <f t="shared" si="1"/>
        <v>Low</v>
      </c>
    </row>
    <row r="37" spans="1:18">
      <c r="A37" t="s">
        <v>120</v>
      </c>
      <c r="B37" s="2">
        <v>46029</v>
      </c>
      <c r="C37" s="3">
        <v>0.481944444444444</v>
      </c>
      <c r="D37" t="s">
        <v>121</v>
      </c>
      <c r="E37">
        <v>92.24</v>
      </c>
      <c r="F37" t="s">
        <v>31</v>
      </c>
      <c r="G37" t="s">
        <v>48</v>
      </c>
      <c r="H37" t="s">
        <v>4</v>
      </c>
      <c r="I37" t="s">
        <v>15</v>
      </c>
      <c r="J37" t="s">
        <v>21</v>
      </c>
      <c r="K37">
        <v>64</v>
      </c>
      <c r="L37" t="s">
        <v>49</v>
      </c>
      <c r="M37">
        <v>0</v>
      </c>
      <c r="N37">
        <f t="shared" si="2"/>
        <v>1</v>
      </c>
      <c r="P37" s="4">
        <f t="shared" si="3"/>
        <v>11</v>
      </c>
      <c r="Q37" s="4" t="str">
        <f t="shared" si="0"/>
        <v>Late Night</v>
      </c>
      <c r="R37" s="4" t="str">
        <f t="shared" si="1"/>
        <v>Low</v>
      </c>
    </row>
    <row r="38" spans="1:18">
      <c r="A38" t="s">
        <v>122</v>
      </c>
      <c r="B38" s="2">
        <v>46029</v>
      </c>
      <c r="C38" s="3">
        <v>0.936805555555556</v>
      </c>
      <c r="D38" t="s">
        <v>123</v>
      </c>
      <c r="E38">
        <v>291.38</v>
      </c>
      <c r="F38" t="s">
        <v>29</v>
      </c>
      <c r="G38" t="s">
        <v>54</v>
      </c>
      <c r="H38" t="s">
        <v>6</v>
      </c>
      <c r="I38" t="s">
        <v>14</v>
      </c>
      <c r="J38" t="s">
        <v>21</v>
      </c>
      <c r="K38">
        <v>23</v>
      </c>
      <c r="L38" t="s">
        <v>49</v>
      </c>
      <c r="M38">
        <v>0</v>
      </c>
      <c r="N38">
        <f t="shared" si="2"/>
        <v>1</v>
      </c>
      <c r="P38" s="4">
        <f t="shared" si="3"/>
        <v>22</v>
      </c>
      <c r="Q38" s="4" t="str">
        <f t="shared" si="0"/>
        <v>Late Night</v>
      </c>
      <c r="R38" s="4" t="str">
        <f t="shared" si="1"/>
        <v>Low</v>
      </c>
    </row>
    <row r="39" spans="1:18">
      <c r="A39" t="s">
        <v>124</v>
      </c>
      <c r="B39" s="2">
        <v>46029</v>
      </c>
      <c r="C39" s="3">
        <v>0.8125</v>
      </c>
      <c r="D39" t="s">
        <v>125</v>
      </c>
      <c r="E39">
        <v>786.16</v>
      </c>
      <c r="F39" t="s">
        <v>31</v>
      </c>
      <c r="G39" t="s">
        <v>66</v>
      </c>
      <c r="H39" t="s">
        <v>4</v>
      </c>
      <c r="I39" t="s">
        <v>15</v>
      </c>
      <c r="J39" t="s">
        <v>24</v>
      </c>
      <c r="K39">
        <v>46</v>
      </c>
      <c r="L39" t="s">
        <v>49</v>
      </c>
      <c r="M39">
        <v>0</v>
      </c>
      <c r="N39">
        <f t="shared" si="2"/>
        <v>1</v>
      </c>
      <c r="P39" s="4">
        <f t="shared" si="3"/>
        <v>19</v>
      </c>
      <c r="Q39" s="4" t="str">
        <f t="shared" si="0"/>
        <v>Late Night</v>
      </c>
      <c r="R39" s="4" t="str">
        <f t="shared" si="1"/>
        <v>Low</v>
      </c>
    </row>
    <row r="40" spans="1:18">
      <c r="A40" t="s">
        <v>126</v>
      </c>
      <c r="B40" s="2">
        <v>46029</v>
      </c>
      <c r="C40" s="3">
        <v>0.116666666666667</v>
      </c>
      <c r="D40" t="s">
        <v>127</v>
      </c>
      <c r="E40">
        <v>242.14</v>
      </c>
      <c r="F40" t="s">
        <v>29</v>
      </c>
      <c r="G40" t="s">
        <v>59</v>
      </c>
      <c r="H40" t="s">
        <v>3</v>
      </c>
      <c r="I40" t="s">
        <v>14</v>
      </c>
      <c r="J40" t="s">
        <v>24</v>
      </c>
      <c r="K40">
        <v>36</v>
      </c>
      <c r="L40" t="s">
        <v>49</v>
      </c>
      <c r="M40">
        <v>0</v>
      </c>
      <c r="N40">
        <f t="shared" si="2"/>
        <v>1</v>
      </c>
      <c r="P40" s="4">
        <f t="shared" si="3"/>
        <v>2</v>
      </c>
      <c r="Q40" s="4" t="str">
        <f t="shared" si="0"/>
        <v>Late Night</v>
      </c>
      <c r="R40" s="4" t="str">
        <f t="shared" si="1"/>
        <v>Low</v>
      </c>
    </row>
    <row r="41" spans="1:18">
      <c r="A41" t="s">
        <v>128</v>
      </c>
      <c r="B41" s="2">
        <v>46030</v>
      </c>
      <c r="C41" s="3">
        <v>0.169444444444444</v>
      </c>
      <c r="D41" t="s">
        <v>129</v>
      </c>
      <c r="E41">
        <v>73.64</v>
      </c>
      <c r="F41" t="s">
        <v>31</v>
      </c>
      <c r="G41" t="s">
        <v>71</v>
      </c>
      <c r="H41" t="s">
        <v>3</v>
      </c>
      <c r="I41" t="s">
        <v>15</v>
      </c>
      <c r="J41" t="s">
        <v>22</v>
      </c>
      <c r="K41">
        <v>50</v>
      </c>
      <c r="L41" t="s">
        <v>85</v>
      </c>
      <c r="M41">
        <v>1</v>
      </c>
      <c r="N41">
        <f t="shared" si="2"/>
        <v>1</v>
      </c>
      <c r="P41" s="4">
        <f t="shared" si="3"/>
        <v>4</v>
      </c>
      <c r="Q41" s="4" t="str">
        <f t="shared" si="0"/>
        <v>Late Night</v>
      </c>
      <c r="R41" s="4" t="str">
        <f t="shared" si="1"/>
        <v>Low</v>
      </c>
    </row>
    <row r="42" spans="1:18">
      <c r="A42" t="s">
        <v>130</v>
      </c>
      <c r="B42" s="2">
        <v>46030</v>
      </c>
      <c r="C42" s="3">
        <v>0.790972222222222</v>
      </c>
      <c r="D42" t="s">
        <v>131</v>
      </c>
      <c r="E42">
        <v>339.16</v>
      </c>
      <c r="F42" t="s">
        <v>28</v>
      </c>
      <c r="G42" t="s">
        <v>54</v>
      </c>
      <c r="H42" t="s">
        <v>5</v>
      </c>
      <c r="I42" t="s">
        <v>15</v>
      </c>
      <c r="J42" t="s">
        <v>19</v>
      </c>
      <c r="K42">
        <v>18</v>
      </c>
      <c r="L42" t="s">
        <v>49</v>
      </c>
      <c r="M42">
        <v>0</v>
      </c>
      <c r="N42">
        <f t="shared" si="2"/>
        <v>1</v>
      </c>
      <c r="P42" s="4">
        <f t="shared" si="3"/>
        <v>18</v>
      </c>
      <c r="Q42" s="4" t="str">
        <f t="shared" si="0"/>
        <v>Late Night</v>
      </c>
      <c r="R42" s="4" t="str">
        <f t="shared" si="1"/>
        <v>Low</v>
      </c>
    </row>
    <row r="43" spans="1:18">
      <c r="A43" t="s">
        <v>132</v>
      </c>
      <c r="B43" s="2">
        <v>46030</v>
      </c>
      <c r="C43" s="3">
        <v>0.279861111111111</v>
      </c>
      <c r="D43" t="s">
        <v>68</v>
      </c>
      <c r="E43">
        <v>270.91</v>
      </c>
      <c r="F43" t="s">
        <v>31</v>
      </c>
      <c r="G43" t="s">
        <v>59</v>
      </c>
      <c r="H43" t="s">
        <v>8</v>
      </c>
      <c r="I43" t="s">
        <v>15</v>
      </c>
      <c r="J43" t="s">
        <v>22</v>
      </c>
      <c r="K43">
        <v>62</v>
      </c>
      <c r="L43" t="s">
        <v>49</v>
      </c>
      <c r="M43">
        <v>0</v>
      </c>
      <c r="N43">
        <f t="shared" si="2"/>
        <v>1</v>
      </c>
      <c r="P43" s="4">
        <f t="shared" si="3"/>
        <v>6</v>
      </c>
      <c r="Q43" s="4" t="str">
        <f t="shared" si="0"/>
        <v>Late Night</v>
      </c>
      <c r="R43" s="4" t="str">
        <f t="shared" si="1"/>
        <v>Low</v>
      </c>
    </row>
    <row r="44" spans="1:18">
      <c r="A44" t="s">
        <v>133</v>
      </c>
      <c r="B44" s="2">
        <v>46030</v>
      </c>
      <c r="C44" s="3">
        <v>0.867361111111111</v>
      </c>
      <c r="D44" t="s">
        <v>134</v>
      </c>
      <c r="E44">
        <v>1420.27</v>
      </c>
      <c r="F44" t="s">
        <v>31</v>
      </c>
      <c r="G44" t="s">
        <v>59</v>
      </c>
      <c r="H44" t="s">
        <v>10</v>
      </c>
      <c r="I44" t="s">
        <v>15</v>
      </c>
      <c r="J44" t="s">
        <v>22</v>
      </c>
      <c r="K44">
        <v>20</v>
      </c>
      <c r="L44" t="s">
        <v>49</v>
      </c>
      <c r="M44">
        <v>0</v>
      </c>
      <c r="N44">
        <f t="shared" si="2"/>
        <v>1</v>
      </c>
      <c r="P44" s="4">
        <f t="shared" si="3"/>
        <v>20</v>
      </c>
      <c r="Q44" s="4" t="str">
        <f t="shared" si="0"/>
        <v>Late Night</v>
      </c>
      <c r="R44" s="4" t="str">
        <f t="shared" si="1"/>
        <v>Medium</v>
      </c>
    </row>
    <row r="45" spans="1:18">
      <c r="A45" t="s">
        <v>135</v>
      </c>
      <c r="B45" s="2">
        <v>46030</v>
      </c>
      <c r="C45" s="3">
        <v>0.342361111111111</v>
      </c>
      <c r="D45" t="s">
        <v>61</v>
      </c>
      <c r="E45">
        <v>233.68</v>
      </c>
      <c r="F45" t="s">
        <v>31</v>
      </c>
      <c r="G45" t="s">
        <v>59</v>
      </c>
      <c r="H45" t="s">
        <v>5</v>
      </c>
      <c r="I45" t="s">
        <v>15</v>
      </c>
      <c r="J45" t="s">
        <v>18</v>
      </c>
      <c r="K45">
        <v>59</v>
      </c>
      <c r="L45" t="s">
        <v>49</v>
      </c>
      <c r="M45">
        <v>0</v>
      </c>
      <c r="N45">
        <f t="shared" si="2"/>
        <v>1</v>
      </c>
      <c r="P45" s="4">
        <f t="shared" si="3"/>
        <v>8</v>
      </c>
      <c r="Q45" s="4" t="str">
        <f t="shared" si="0"/>
        <v>Late Night</v>
      </c>
      <c r="R45" s="4" t="str">
        <f t="shared" si="1"/>
        <v>Low</v>
      </c>
    </row>
    <row r="46" spans="1:18">
      <c r="A46" t="s">
        <v>136</v>
      </c>
      <c r="B46" s="2">
        <v>46030</v>
      </c>
      <c r="C46" s="3">
        <v>0.286111111111111</v>
      </c>
      <c r="D46" t="s">
        <v>137</v>
      </c>
      <c r="E46">
        <v>100.94</v>
      </c>
      <c r="F46" t="s">
        <v>28</v>
      </c>
      <c r="G46" t="s">
        <v>59</v>
      </c>
      <c r="H46" t="s">
        <v>4</v>
      </c>
      <c r="I46" t="s">
        <v>15</v>
      </c>
      <c r="J46" t="s">
        <v>20</v>
      </c>
      <c r="K46">
        <v>38</v>
      </c>
      <c r="L46" t="s">
        <v>49</v>
      </c>
      <c r="M46">
        <v>0</v>
      </c>
      <c r="N46">
        <f t="shared" si="2"/>
        <v>1</v>
      </c>
      <c r="P46" s="4">
        <f t="shared" si="3"/>
        <v>6</v>
      </c>
      <c r="Q46" s="4" t="str">
        <f t="shared" si="0"/>
        <v>Late Night</v>
      </c>
      <c r="R46" s="4" t="str">
        <f t="shared" si="1"/>
        <v>Low</v>
      </c>
    </row>
    <row r="47" spans="1:18">
      <c r="A47" t="s">
        <v>138</v>
      </c>
      <c r="B47" s="2">
        <v>46031</v>
      </c>
      <c r="C47" s="3">
        <v>0.746527777777778</v>
      </c>
      <c r="D47" t="s">
        <v>139</v>
      </c>
      <c r="E47">
        <v>391.76</v>
      </c>
      <c r="F47" t="s">
        <v>29</v>
      </c>
      <c r="G47" t="s">
        <v>48</v>
      </c>
      <c r="H47" t="s">
        <v>9</v>
      </c>
      <c r="I47" t="s">
        <v>15</v>
      </c>
      <c r="J47" t="s">
        <v>22</v>
      </c>
      <c r="K47">
        <v>52</v>
      </c>
      <c r="L47" t="s">
        <v>49</v>
      </c>
      <c r="M47">
        <v>0</v>
      </c>
      <c r="N47">
        <f t="shared" si="2"/>
        <v>1</v>
      </c>
      <c r="P47" s="4">
        <f t="shared" si="3"/>
        <v>17</v>
      </c>
      <c r="Q47" s="4" t="str">
        <f t="shared" si="0"/>
        <v>Late Night</v>
      </c>
      <c r="R47" s="4" t="str">
        <f t="shared" si="1"/>
        <v>Low</v>
      </c>
    </row>
    <row r="48" spans="1:18">
      <c r="A48" t="s">
        <v>140</v>
      </c>
      <c r="B48" s="2">
        <v>46031</v>
      </c>
      <c r="C48" s="3">
        <v>0.131944444444444</v>
      </c>
      <c r="D48" t="s">
        <v>141</v>
      </c>
      <c r="E48">
        <v>159.54</v>
      </c>
      <c r="F48" t="s">
        <v>31</v>
      </c>
      <c r="G48" t="s">
        <v>54</v>
      </c>
      <c r="H48" t="s">
        <v>5</v>
      </c>
      <c r="I48" t="s">
        <v>15</v>
      </c>
      <c r="J48" t="s">
        <v>24</v>
      </c>
      <c r="K48">
        <v>58</v>
      </c>
      <c r="L48" t="s">
        <v>49</v>
      </c>
      <c r="M48">
        <v>0</v>
      </c>
      <c r="N48">
        <f t="shared" si="2"/>
        <v>1</v>
      </c>
      <c r="P48" s="4">
        <f t="shared" si="3"/>
        <v>3</v>
      </c>
      <c r="Q48" s="4" t="str">
        <f t="shared" si="0"/>
        <v>Late Night</v>
      </c>
      <c r="R48" s="4" t="str">
        <f t="shared" si="1"/>
        <v>Low</v>
      </c>
    </row>
    <row r="49" spans="1:18">
      <c r="A49" t="s">
        <v>142</v>
      </c>
      <c r="B49" s="2">
        <v>46031</v>
      </c>
      <c r="C49" s="3">
        <v>0.547222222222222</v>
      </c>
      <c r="D49" t="s">
        <v>143</v>
      </c>
      <c r="E49">
        <v>196.42</v>
      </c>
      <c r="F49" t="s">
        <v>29</v>
      </c>
      <c r="G49" t="s">
        <v>48</v>
      </c>
      <c r="H49" t="s">
        <v>5</v>
      </c>
      <c r="I49" t="s">
        <v>15</v>
      </c>
      <c r="J49" t="s">
        <v>20</v>
      </c>
      <c r="K49">
        <v>57</v>
      </c>
      <c r="L49" t="s">
        <v>49</v>
      </c>
      <c r="M49">
        <v>0</v>
      </c>
      <c r="N49">
        <f t="shared" si="2"/>
        <v>1</v>
      </c>
      <c r="P49" s="4">
        <f t="shared" si="3"/>
        <v>13</v>
      </c>
      <c r="Q49" s="4" t="str">
        <f t="shared" si="0"/>
        <v>Late Night</v>
      </c>
      <c r="R49" s="4" t="str">
        <f t="shared" si="1"/>
        <v>Low</v>
      </c>
    </row>
    <row r="50" spans="1:18">
      <c r="A50" t="s">
        <v>144</v>
      </c>
      <c r="B50" s="2">
        <v>46031</v>
      </c>
      <c r="C50" s="3">
        <v>0.73125</v>
      </c>
      <c r="D50" t="s">
        <v>145</v>
      </c>
      <c r="E50">
        <v>71.63</v>
      </c>
      <c r="F50" t="s">
        <v>30</v>
      </c>
      <c r="G50" t="s">
        <v>54</v>
      </c>
      <c r="H50" t="s">
        <v>3</v>
      </c>
      <c r="I50" t="s">
        <v>14</v>
      </c>
      <c r="J50" t="s">
        <v>18</v>
      </c>
      <c r="K50">
        <v>20</v>
      </c>
      <c r="L50" t="s">
        <v>49</v>
      </c>
      <c r="M50">
        <v>0</v>
      </c>
      <c r="N50">
        <f t="shared" si="2"/>
        <v>1</v>
      </c>
      <c r="P50" s="4">
        <f t="shared" si="3"/>
        <v>17</v>
      </c>
      <c r="Q50" s="4" t="str">
        <f t="shared" si="0"/>
        <v>Late Night</v>
      </c>
      <c r="R50" s="4" t="str">
        <f t="shared" si="1"/>
        <v>Low</v>
      </c>
    </row>
    <row r="51" spans="1:18">
      <c r="A51" t="s">
        <v>146</v>
      </c>
      <c r="B51" s="2">
        <v>46031</v>
      </c>
      <c r="C51" s="3">
        <v>0.340972222222222</v>
      </c>
      <c r="D51" t="s">
        <v>147</v>
      </c>
      <c r="E51">
        <v>160.38</v>
      </c>
      <c r="F51" t="s">
        <v>29</v>
      </c>
      <c r="G51" t="s">
        <v>54</v>
      </c>
      <c r="H51" t="s">
        <v>9</v>
      </c>
      <c r="I51" t="s">
        <v>15</v>
      </c>
      <c r="J51" t="s">
        <v>20</v>
      </c>
      <c r="K51">
        <v>42</v>
      </c>
      <c r="L51" t="s">
        <v>49</v>
      </c>
      <c r="M51">
        <v>0</v>
      </c>
      <c r="N51">
        <f t="shared" si="2"/>
        <v>1</v>
      </c>
      <c r="P51" s="4">
        <f t="shared" si="3"/>
        <v>8</v>
      </c>
      <c r="Q51" s="4" t="str">
        <f t="shared" si="0"/>
        <v>Late Night</v>
      </c>
      <c r="R51" s="4" t="str">
        <f t="shared" si="1"/>
        <v>Low</v>
      </c>
    </row>
    <row r="52" spans="1:18">
      <c r="A52" t="s">
        <v>148</v>
      </c>
      <c r="B52" s="2">
        <v>46032</v>
      </c>
      <c r="C52" s="3">
        <v>0.856944444444444</v>
      </c>
      <c r="D52" t="s">
        <v>149</v>
      </c>
      <c r="E52">
        <v>186.94</v>
      </c>
      <c r="F52" t="s">
        <v>31</v>
      </c>
      <c r="G52" t="s">
        <v>59</v>
      </c>
      <c r="H52" t="s">
        <v>6</v>
      </c>
      <c r="I52" t="s">
        <v>14</v>
      </c>
      <c r="J52" t="s">
        <v>23</v>
      </c>
      <c r="K52">
        <v>62</v>
      </c>
      <c r="L52" t="s">
        <v>49</v>
      </c>
      <c r="M52">
        <v>0</v>
      </c>
      <c r="N52">
        <f t="shared" si="2"/>
        <v>1</v>
      </c>
      <c r="P52" s="4">
        <f t="shared" si="3"/>
        <v>20</v>
      </c>
      <c r="Q52" s="4" t="str">
        <f t="shared" si="0"/>
        <v>Late Night</v>
      </c>
      <c r="R52" s="4" t="str">
        <f t="shared" si="1"/>
        <v>Low</v>
      </c>
    </row>
    <row r="53" spans="1:18">
      <c r="A53" t="s">
        <v>150</v>
      </c>
      <c r="B53" s="2">
        <v>46032</v>
      </c>
      <c r="C53" s="3">
        <v>0.0652777777777778</v>
      </c>
      <c r="D53" t="s">
        <v>151</v>
      </c>
      <c r="E53">
        <v>159.44</v>
      </c>
      <c r="F53" t="s">
        <v>28</v>
      </c>
      <c r="G53" t="s">
        <v>71</v>
      </c>
      <c r="H53" t="s">
        <v>4</v>
      </c>
      <c r="I53" t="s">
        <v>15</v>
      </c>
      <c r="J53" t="s">
        <v>19</v>
      </c>
      <c r="K53">
        <v>55</v>
      </c>
      <c r="L53" t="s">
        <v>49</v>
      </c>
      <c r="M53">
        <v>0</v>
      </c>
      <c r="N53">
        <f t="shared" si="2"/>
        <v>1</v>
      </c>
      <c r="P53" s="4">
        <f t="shared" si="3"/>
        <v>1</v>
      </c>
      <c r="Q53" s="4" t="str">
        <f t="shared" si="0"/>
        <v>Late Night</v>
      </c>
      <c r="R53" s="4" t="str">
        <f t="shared" si="1"/>
        <v>Low</v>
      </c>
    </row>
    <row r="54" spans="1:18">
      <c r="A54" t="s">
        <v>152</v>
      </c>
      <c r="B54" s="2">
        <v>46032</v>
      </c>
      <c r="C54" s="3">
        <v>0.791666666666667</v>
      </c>
      <c r="D54" t="s">
        <v>153</v>
      </c>
      <c r="E54">
        <v>100.4</v>
      </c>
      <c r="F54" t="s">
        <v>31</v>
      </c>
      <c r="G54" t="s">
        <v>59</v>
      </c>
      <c r="H54" t="s">
        <v>5</v>
      </c>
      <c r="I54" t="s">
        <v>16</v>
      </c>
      <c r="J54" t="s">
        <v>20</v>
      </c>
      <c r="K54">
        <v>62</v>
      </c>
      <c r="L54" t="s">
        <v>49</v>
      </c>
      <c r="M54">
        <v>0</v>
      </c>
      <c r="N54">
        <f t="shared" si="2"/>
        <v>1</v>
      </c>
      <c r="P54" s="4">
        <f t="shared" si="3"/>
        <v>19</v>
      </c>
      <c r="Q54" s="4" t="str">
        <f t="shared" si="0"/>
        <v>Late Night</v>
      </c>
      <c r="R54" s="4" t="str">
        <f t="shared" si="1"/>
        <v>Low</v>
      </c>
    </row>
    <row r="55" spans="1:18">
      <c r="A55" t="s">
        <v>154</v>
      </c>
      <c r="B55" s="2">
        <v>46032</v>
      </c>
      <c r="C55" s="3">
        <v>0.610416666666667</v>
      </c>
      <c r="D55" t="s">
        <v>155</v>
      </c>
      <c r="E55">
        <v>241.83</v>
      </c>
      <c r="F55" t="s">
        <v>31</v>
      </c>
      <c r="G55" t="s">
        <v>66</v>
      </c>
      <c r="H55" t="s">
        <v>9</v>
      </c>
      <c r="I55" t="s">
        <v>14</v>
      </c>
      <c r="J55" t="s">
        <v>22</v>
      </c>
      <c r="K55">
        <v>37</v>
      </c>
      <c r="L55" t="s">
        <v>49</v>
      </c>
      <c r="M55">
        <v>0</v>
      </c>
      <c r="N55">
        <f t="shared" si="2"/>
        <v>1</v>
      </c>
      <c r="P55" s="4">
        <f t="shared" si="3"/>
        <v>14</v>
      </c>
      <c r="Q55" s="4" t="str">
        <f t="shared" si="0"/>
        <v>Late Night</v>
      </c>
      <c r="R55" s="4" t="str">
        <f t="shared" si="1"/>
        <v>Low</v>
      </c>
    </row>
    <row r="56" spans="1:18">
      <c r="A56" t="s">
        <v>156</v>
      </c>
      <c r="B56" s="2">
        <v>46032</v>
      </c>
      <c r="C56" s="3">
        <v>0.264583333333333</v>
      </c>
      <c r="D56" t="s">
        <v>127</v>
      </c>
      <c r="E56">
        <v>71.99</v>
      </c>
      <c r="F56" t="s">
        <v>32</v>
      </c>
      <c r="G56" t="s">
        <v>54</v>
      </c>
      <c r="H56" t="s">
        <v>8</v>
      </c>
      <c r="I56" t="s">
        <v>15</v>
      </c>
      <c r="J56" t="s">
        <v>18</v>
      </c>
      <c r="K56">
        <v>61</v>
      </c>
      <c r="L56" t="s">
        <v>49</v>
      </c>
      <c r="M56">
        <v>0</v>
      </c>
      <c r="N56">
        <f t="shared" si="2"/>
        <v>1</v>
      </c>
      <c r="P56" s="4">
        <f t="shared" si="3"/>
        <v>6</v>
      </c>
      <c r="Q56" s="4" t="str">
        <f t="shared" si="0"/>
        <v>Late Night</v>
      </c>
      <c r="R56" s="4" t="str">
        <f t="shared" si="1"/>
        <v>Low</v>
      </c>
    </row>
    <row r="57" spans="1:18">
      <c r="A57" t="s">
        <v>157</v>
      </c>
      <c r="B57" s="2">
        <v>46032</v>
      </c>
      <c r="C57" s="3">
        <v>0.499305555555556</v>
      </c>
      <c r="D57" t="s">
        <v>158</v>
      </c>
      <c r="E57">
        <v>56.88</v>
      </c>
      <c r="F57" t="s">
        <v>31</v>
      </c>
      <c r="G57" t="s">
        <v>59</v>
      </c>
      <c r="H57" t="s">
        <v>10</v>
      </c>
      <c r="I57" t="s">
        <v>15</v>
      </c>
      <c r="J57" t="s">
        <v>19</v>
      </c>
      <c r="K57">
        <v>62</v>
      </c>
      <c r="L57" t="s">
        <v>159</v>
      </c>
      <c r="M57">
        <v>0</v>
      </c>
      <c r="N57">
        <f t="shared" si="2"/>
        <v>1</v>
      </c>
      <c r="P57" s="4">
        <f t="shared" si="3"/>
        <v>11</v>
      </c>
      <c r="Q57" s="4" t="str">
        <f t="shared" si="0"/>
        <v>Late Night</v>
      </c>
      <c r="R57" s="4" t="str">
        <f t="shared" si="1"/>
        <v>Low</v>
      </c>
    </row>
    <row r="58" spans="1:18">
      <c r="A58" t="s">
        <v>160</v>
      </c>
      <c r="B58" s="2">
        <v>46033</v>
      </c>
      <c r="C58" s="3">
        <v>0.311111111111111</v>
      </c>
      <c r="D58" t="s">
        <v>137</v>
      </c>
      <c r="E58">
        <v>368.54</v>
      </c>
      <c r="F58" t="s">
        <v>28</v>
      </c>
      <c r="G58" t="s">
        <v>48</v>
      </c>
      <c r="H58" t="s">
        <v>9</v>
      </c>
      <c r="I58" t="s">
        <v>14</v>
      </c>
      <c r="J58" t="s">
        <v>22</v>
      </c>
      <c r="K58">
        <v>51</v>
      </c>
      <c r="L58" t="s">
        <v>49</v>
      </c>
      <c r="M58">
        <v>0</v>
      </c>
      <c r="N58">
        <f t="shared" si="2"/>
        <v>1</v>
      </c>
      <c r="P58" s="4">
        <f t="shared" si="3"/>
        <v>7</v>
      </c>
      <c r="Q58" s="4" t="str">
        <f t="shared" si="0"/>
        <v>Late Night</v>
      </c>
      <c r="R58" s="4" t="str">
        <f t="shared" si="1"/>
        <v>Low</v>
      </c>
    </row>
    <row r="59" spans="1:18">
      <c r="A59" t="s">
        <v>161</v>
      </c>
      <c r="B59" s="2">
        <v>46033</v>
      </c>
      <c r="C59" s="3">
        <v>0.588194444444444</v>
      </c>
      <c r="D59" t="s">
        <v>162</v>
      </c>
      <c r="E59">
        <v>336.21</v>
      </c>
      <c r="F59" t="s">
        <v>29</v>
      </c>
      <c r="G59" t="s">
        <v>48</v>
      </c>
      <c r="H59" t="s">
        <v>8</v>
      </c>
      <c r="I59" t="s">
        <v>15</v>
      </c>
      <c r="J59" t="s">
        <v>19</v>
      </c>
      <c r="K59">
        <v>38</v>
      </c>
      <c r="L59" t="s">
        <v>49</v>
      </c>
      <c r="M59">
        <v>0</v>
      </c>
      <c r="N59">
        <f t="shared" si="2"/>
        <v>1</v>
      </c>
      <c r="P59" s="4">
        <f t="shared" si="3"/>
        <v>14</v>
      </c>
      <c r="Q59" s="4" t="str">
        <f t="shared" si="0"/>
        <v>Late Night</v>
      </c>
      <c r="R59" s="4" t="str">
        <f t="shared" si="1"/>
        <v>Low</v>
      </c>
    </row>
    <row r="60" spans="1:18">
      <c r="A60" t="s">
        <v>163</v>
      </c>
      <c r="B60" s="2">
        <v>46033</v>
      </c>
      <c r="C60" s="3">
        <v>0.0902777777777778</v>
      </c>
      <c r="D60" t="s">
        <v>149</v>
      </c>
      <c r="E60">
        <v>49.03</v>
      </c>
      <c r="F60" t="s">
        <v>29</v>
      </c>
      <c r="G60" t="s">
        <v>54</v>
      </c>
      <c r="H60" t="s">
        <v>4</v>
      </c>
      <c r="I60" t="s">
        <v>15</v>
      </c>
      <c r="J60" t="s">
        <v>24</v>
      </c>
      <c r="K60">
        <v>65</v>
      </c>
      <c r="L60" t="s">
        <v>49</v>
      </c>
      <c r="M60">
        <v>0</v>
      </c>
      <c r="N60">
        <f t="shared" si="2"/>
        <v>1</v>
      </c>
      <c r="P60" s="4">
        <f t="shared" si="3"/>
        <v>2</v>
      </c>
      <c r="Q60" s="4" t="str">
        <f t="shared" si="0"/>
        <v>Late Night</v>
      </c>
      <c r="R60" s="4" t="str">
        <f t="shared" si="1"/>
        <v>Low</v>
      </c>
    </row>
    <row r="61" spans="1:18">
      <c r="A61" t="s">
        <v>164</v>
      </c>
      <c r="B61" s="2">
        <v>46033</v>
      </c>
      <c r="C61" s="3">
        <v>0.569444444444444</v>
      </c>
      <c r="D61" t="s">
        <v>51</v>
      </c>
      <c r="E61">
        <v>29.09</v>
      </c>
      <c r="F61" t="s">
        <v>28</v>
      </c>
      <c r="G61" t="s">
        <v>54</v>
      </c>
      <c r="H61" t="s">
        <v>9</v>
      </c>
      <c r="I61" t="s">
        <v>15</v>
      </c>
      <c r="J61" t="s">
        <v>23</v>
      </c>
      <c r="K61">
        <v>40</v>
      </c>
      <c r="L61" t="s">
        <v>49</v>
      </c>
      <c r="M61">
        <v>0</v>
      </c>
      <c r="N61">
        <f t="shared" si="2"/>
        <v>1</v>
      </c>
      <c r="P61" s="4">
        <f t="shared" si="3"/>
        <v>13</v>
      </c>
      <c r="Q61" s="4" t="str">
        <f t="shared" si="0"/>
        <v>Late Night</v>
      </c>
      <c r="R61" s="4" t="str">
        <f t="shared" si="1"/>
        <v>Low</v>
      </c>
    </row>
    <row r="62" spans="1:18">
      <c r="A62" t="s">
        <v>165</v>
      </c>
      <c r="B62" s="2">
        <v>46033</v>
      </c>
      <c r="C62" s="3">
        <v>0.691666666666667</v>
      </c>
      <c r="D62" t="s">
        <v>89</v>
      </c>
      <c r="E62">
        <v>66.11</v>
      </c>
      <c r="F62" t="s">
        <v>31</v>
      </c>
      <c r="G62" t="s">
        <v>48</v>
      </c>
      <c r="H62" t="s">
        <v>8</v>
      </c>
      <c r="I62" t="s">
        <v>14</v>
      </c>
      <c r="J62" t="s">
        <v>24</v>
      </c>
      <c r="K62">
        <v>23</v>
      </c>
      <c r="L62" t="s">
        <v>49</v>
      </c>
      <c r="M62">
        <v>0</v>
      </c>
      <c r="N62">
        <f t="shared" si="2"/>
        <v>1</v>
      </c>
      <c r="P62" s="4">
        <f t="shared" si="3"/>
        <v>16</v>
      </c>
      <c r="Q62" s="4" t="str">
        <f t="shared" si="0"/>
        <v>Late Night</v>
      </c>
      <c r="R62" s="4" t="str">
        <f t="shared" si="1"/>
        <v>Low</v>
      </c>
    </row>
    <row r="63" spans="1:18">
      <c r="A63" t="s">
        <v>166</v>
      </c>
      <c r="B63" s="2">
        <v>46033</v>
      </c>
      <c r="C63" s="3">
        <v>0.134027777777778</v>
      </c>
      <c r="D63" t="s">
        <v>167</v>
      </c>
      <c r="E63">
        <v>159.45</v>
      </c>
      <c r="F63" t="s">
        <v>31</v>
      </c>
      <c r="G63" t="s">
        <v>48</v>
      </c>
      <c r="H63" t="s">
        <v>9</v>
      </c>
      <c r="I63" t="s">
        <v>14</v>
      </c>
      <c r="J63" t="s">
        <v>22</v>
      </c>
      <c r="K63">
        <v>30</v>
      </c>
      <c r="L63" t="s">
        <v>168</v>
      </c>
      <c r="M63">
        <v>1</v>
      </c>
      <c r="N63">
        <f t="shared" si="2"/>
        <v>1</v>
      </c>
      <c r="P63" s="4">
        <f t="shared" si="3"/>
        <v>3</v>
      </c>
      <c r="Q63" s="4" t="str">
        <f t="shared" si="0"/>
        <v>Late Night</v>
      </c>
      <c r="R63" s="4" t="str">
        <f t="shared" si="1"/>
        <v>Low</v>
      </c>
    </row>
    <row r="64" spans="1:18">
      <c r="A64" t="s">
        <v>169</v>
      </c>
      <c r="B64" s="2">
        <v>46034</v>
      </c>
      <c r="C64" s="3">
        <v>0.749305555555556</v>
      </c>
      <c r="D64" t="s">
        <v>170</v>
      </c>
      <c r="E64">
        <v>574.99</v>
      </c>
      <c r="F64" t="s">
        <v>28</v>
      </c>
      <c r="G64" t="s">
        <v>48</v>
      </c>
      <c r="H64" t="s">
        <v>9</v>
      </c>
      <c r="I64" t="s">
        <v>15</v>
      </c>
      <c r="J64" t="s">
        <v>22</v>
      </c>
      <c r="K64">
        <v>40</v>
      </c>
      <c r="L64" t="s">
        <v>49</v>
      </c>
      <c r="M64">
        <v>0</v>
      </c>
      <c r="N64">
        <f t="shared" si="2"/>
        <v>1</v>
      </c>
      <c r="P64" s="4">
        <f t="shared" si="3"/>
        <v>17</v>
      </c>
      <c r="Q64" s="4" t="str">
        <f t="shared" si="0"/>
        <v>Late Night</v>
      </c>
      <c r="R64" s="4" t="str">
        <f t="shared" si="1"/>
        <v>Low</v>
      </c>
    </row>
    <row r="65" spans="1:18">
      <c r="A65" t="s">
        <v>171</v>
      </c>
      <c r="B65" s="2">
        <v>46034</v>
      </c>
      <c r="C65" s="3">
        <v>0.311805555555556</v>
      </c>
      <c r="D65" t="s">
        <v>172</v>
      </c>
      <c r="E65">
        <v>155.59</v>
      </c>
      <c r="F65" t="s">
        <v>31</v>
      </c>
      <c r="G65" t="s">
        <v>71</v>
      </c>
      <c r="H65" t="s">
        <v>10</v>
      </c>
      <c r="I65" t="s">
        <v>15</v>
      </c>
      <c r="J65" t="s">
        <v>22</v>
      </c>
      <c r="K65">
        <v>26</v>
      </c>
      <c r="L65" t="s">
        <v>49</v>
      </c>
      <c r="M65">
        <v>0</v>
      </c>
      <c r="N65">
        <f t="shared" si="2"/>
        <v>1</v>
      </c>
      <c r="P65" s="4">
        <f t="shared" si="3"/>
        <v>7</v>
      </c>
      <c r="Q65" s="4" t="str">
        <f t="shared" si="0"/>
        <v>Late Night</v>
      </c>
      <c r="R65" s="4" t="str">
        <f t="shared" si="1"/>
        <v>Low</v>
      </c>
    </row>
    <row r="66" spans="1:18">
      <c r="A66" t="s">
        <v>173</v>
      </c>
      <c r="B66" s="2">
        <v>46034</v>
      </c>
      <c r="C66" s="3">
        <v>0.148611111111111</v>
      </c>
      <c r="D66" t="s">
        <v>174</v>
      </c>
      <c r="E66">
        <v>83.99</v>
      </c>
      <c r="F66" t="s">
        <v>31</v>
      </c>
      <c r="G66" t="s">
        <v>48</v>
      </c>
      <c r="H66" t="s">
        <v>8</v>
      </c>
      <c r="I66" t="s">
        <v>15</v>
      </c>
      <c r="J66" t="s">
        <v>21</v>
      </c>
      <c r="K66">
        <v>34</v>
      </c>
      <c r="L66" t="s">
        <v>85</v>
      </c>
      <c r="M66">
        <v>1</v>
      </c>
      <c r="N66">
        <f t="shared" si="2"/>
        <v>1</v>
      </c>
      <c r="P66" s="4">
        <f t="shared" ref="P66:P129" si="4">HOUR(C66)</f>
        <v>3</v>
      </c>
      <c r="Q66" s="4" t="str">
        <f t="shared" ref="Q66:Q129" si="5">IF(N66&lt;6,"Late Night",IF(N66&lt;12,"Morning",IF(N66&lt;18,"Afternoon","Evening")))</f>
        <v>Late Night</v>
      </c>
      <c r="R66" s="4" t="str">
        <f t="shared" ref="R66:R129" si="6">IF(E66&lt;1000,"Low",IF(E66&lt;5000,"Medium",IF(E66&lt;15000,"High","Very High")))</f>
        <v>Low</v>
      </c>
    </row>
    <row r="67" spans="1:18">
      <c r="A67" t="s">
        <v>175</v>
      </c>
      <c r="B67" s="2">
        <v>46034</v>
      </c>
      <c r="C67" s="3">
        <v>0.0555555555555556</v>
      </c>
      <c r="D67" t="s">
        <v>176</v>
      </c>
      <c r="E67">
        <v>210.31</v>
      </c>
      <c r="F67" t="s">
        <v>31</v>
      </c>
      <c r="G67" t="s">
        <v>54</v>
      </c>
      <c r="H67" t="s">
        <v>8</v>
      </c>
      <c r="I67" t="s">
        <v>15</v>
      </c>
      <c r="J67" t="s">
        <v>23</v>
      </c>
      <c r="K67">
        <v>19</v>
      </c>
      <c r="L67" t="s">
        <v>49</v>
      </c>
      <c r="M67">
        <v>0</v>
      </c>
      <c r="N67">
        <f t="shared" ref="N67:N130" si="7">COUNTIF($A$2:$A$1001,A67)</f>
        <v>1</v>
      </c>
      <c r="P67" s="4">
        <f t="shared" si="4"/>
        <v>1</v>
      </c>
      <c r="Q67" s="4" t="str">
        <f t="shared" si="5"/>
        <v>Late Night</v>
      </c>
      <c r="R67" s="4" t="str">
        <f t="shared" si="6"/>
        <v>Low</v>
      </c>
    </row>
    <row r="68" spans="1:18">
      <c r="A68" t="s">
        <v>177</v>
      </c>
      <c r="B68" s="2">
        <v>46034</v>
      </c>
      <c r="C68" s="3">
        <v>0.233333333333333</v>
      </c>
      <c r="D68" t="s">
        <v>178</v>
      </c>
      <c r="E68">
        <v>161.74</v>
      </c>
      <c r="F68" t="s">
        <v>31</v>
      </c>
      <c r="G68" t="s">
        <v>48</v>
      </c>
      <c r="H68" t="s">
        <v>5</v>
      </c>
      <c r="I68" t="s">
        <v>16</v>
      </c>
      <c r="J68" t="s">
        <v>19</v>
      </c>
      <c r="K68">
        <v>36</v>
      </c>
      <c r="L68" t="s">
        <v>49</v>
      </c>
      <c r="M68">
        <v>0</v>
      </c>
      <c r="N68">
        <f t="shared" si="7"/>
        <v>1</v>
      </c>
      <c r="P68" s="4">
        <f t="shared" si="4"/>
        <v>5</v>
      </c>
      <c r="Q68" s="4" t="str">
        <f t="shared" si="5"/>
        <v>Late Night</v>
      </c>
      <c r="R68" s="4" t="str">
        <f t="shared" si="6"/>
        <v>Low</v>
      </c>
    </row>
    <row r="69" spans="1:18">
      <c r="A69" t="s">
        <v>179</v>
      </c>
      <c r="B69" s="2">
        <v>46035</v>
      </c>
      <c r="C69" s="3">
        <v>0.877777777777778</v>
      </c>
      <c r="D69" t="s">
        <v>180</v>
      </c>
      <c r="E69">
        <v>45.56</v>
      </c>
      <c r="F69" t="s">
        <v>31</v>
      </c>
      <c r="G69" t="s">
        <v>59</v>
      </c>
      <c r="H69" t="s">
        <v>4</v>
      </c>
      <c r="I69" t="s">
        <v>15</v>
      </c>
      <c r="J69" t="s">
        <v>22</v>
      </c>
      <c r="K69">
        <v>36</v>
      </c>
      <c r="L69" t="s">
        <v>49</v>
      </c>
      <c r="M69">
        <v>0</v>
      </c>
      <c r="N69">
        <f t="shared" si="7"/>
        <v>1</v>
      </c>
      <c r="P69" s="4">
        <f t="shared" si="4"/>
        <v>21</v>
      </c>
      <c r="Q69" s="4" t="str">
        <f t="shared" si="5"/>
        <v>Late Night</v>
      </c>
      <c r="R69" s="4" t="str">
        <f t="shared" si="6"/>
        <v>Low</v>
      </c>
    </row>
    <row r="70" spans="1:18">
      <c r="A70" t="s">
        <v>181</v>
      </c>
      <c r="B70" s="2">
        <v>46035</v>
      </c>
      <c r="C70" s="3">
        <v>0.3875</v>
      </c>
      <c r="D70" t="s">
        <v>182</v>
      </c>
      <c r="E70">
        <v>45.83</v>
      </c>
      <c r="F70" t="s">
        <v>31</v>
      </c>
      <c r="G70" t="s">
        <v>48</v>
      </c>
      <c r="H70" t="s">
        <v>10</v>
      </c>
      <c r="I70" t="s">
        <v>15</v>
      </c>
      <c r="J70" t="s">
        <v>22</v>
      </c>
      <c r="K70">
        <v>24</v>
      </c>
      <c r="L70" t="s">
        <v>49</v>
      </c>
      <c r="M70">
        <v>0</v>
      </c>
      <c r="N70">
        <f t="shared" si="7"/>
        <v>1</v>
      </c>
      <c r="P70" s="4">
        <f t="shared" si="4"/>
        <v>9</v>
      </c>
      <c r="Q70" s="4" t="str">
        <f t="shared" si="5"/>
        <v>Late Night</v>
      </c>
      <c r="R70" s="4" t="str">
        <f t="shared" si="6"/>
        <v>Low</v>
      </c>
    </row>
    <row r="71" spans="1:18">
      <c r="A71" t="s">
        <v>183</v>
      </c>
      <c r="B71" s="2">
        <v>46035</v>
      </c>
      <c r="C71" s="3">
        <v>0.165277777777778</v>
      </c>
      <c r="D71" t="s">
        <v>184</v>
      </c>
      <c r="E71">
        <v>47.08</v>
      </c>
      <c r="F71" t="s">
        <v>28</v>
      </c>
      <c r="G71" t="s">
        <v>48</v>
      </c>
      <c r="H71" t="s">
        <v>9</v>
      </c>
      <c r="I71" t="s">
        <v>15</v>
      </c>
      <c r="J71" t="s">
        <v>19</v>
      </c>
      <c r="K71">
        <v>59</v>
      </c>
      <c r="L71" t="s">
        <v>49</v>
      </c>
      <c r="M71">
        <v>0</v>
      </c>
      <c r="N71">
        <f t="shared" si="7"/>
        <v>1</v>
      </c>
      <c r="P71" s="4">
        <f t="shared" si="4"/>
        <v>3</v>
      </c>
      <c r="Q71" s="4" t="str">
        <f t="shared" si="5"/>
        <v>Late Night</v>
      </c>
      <c r="R71" s="4" t="str">
        <f t="shared" si="6"/>
        <v>Low</v>
      </c>
    </row>
    <row r="72" spans="1:18">
      <c r="A72" t="s">
        <v>185</v>
      </c>
      <c r="B72" s="2">
        <v>46035</v>
      </c>
      <c r="C72" s="3">
        <v>0.884027777777778</v>
      </c>
      <c r="D72" t="s">
        <v>186</v>
      </c>
      <c r="E72">
        <v>2164.3</v>
      </c>
      <c r="F72" t="s">
        <v>29</v>
      </c>
      <c r="G72" t="s">
        <v>54</v>
      </c>
      <c r="H72" t="s">
        <v>9</v>
      </c>
      <c r="I72" t="s">
        <v>14</v>
      </c>
      <c r="J72" t="s">
        <v>24</v>
      </c>
      <c r="K72">
        <v>59</v>
      </c>
      <c r="L72" t="s">
        <v>49</v>
      </c>
      <c r="M72">
        <v>0</v>
      </c>
      <c r="N72">
        <f t="shared" si="7"/>
        <v>1</v>
      </c>
      <c r="P72" s="4">
        <f t="shared" si="4"/>
        <v>21</v>
      </c>
      <c r="Q72" s="4" t="str">
        <f t="shared" si="5"/>
        <v>Late Night</v>
      </c>
      <c r="R72" s="4" t="str">
        <f t="shared" si="6"/>
        <v>Medium</v>
      </c>
    </row>
    <row r="73" spans="1:18">
      <c r="A73" t="s">
        <v>187</v>
      </c>
      <c r="B73" s="2">
        <v>46035</v>
      </c>
      <c r="C73" s="3">
        <v>0.725694444444444</v>
      </c>
      <c r="D73" t="s">
        <v>188</v>
      </c>
      <c r="E73">
        <v>428.37</v>
      </c>
      <c r="F73" t="s">
        <v>30</v>
      </c>
      <c r="G73" t="s">
        <v>48</v>
      </c>
      <c r="H73" t="s">
        <v>5</v>
      </c>
      <c r="I73" t="s">
        <v>15</v>
      </c>
      <c r="J73" t="s">
        <v>24</v>
      </c>
      <c r="K73">
        <v>37</v>
      </c>
      <c r="L73" t="s">
        <v>49</v>
      </c>
      <c r="M73">
        <v>0</v>
      </c>
      <c r="N73">
        <f t="shared" si="7"/>
        <v>1</v>
      </c>
      <c r="P73" s="4">
        <f t="shared" si="4"/>
        <v>17</v>
      </c>
      <c r="Q73" s="4" t="str">
        <f t="shared" si="5"/>
        <v>Late Night</v>
      </c>
      <c r="R73" s="4" t="str">
        <f t="shared" si="6"/>
        <v>Low</v>
      </c>
    </row>
    <row r="74" spans="1:18">
      <c r="A74" t="s">
        <v>189</v>
      </c>
      <c r="B74" s="2">
        <v>46035</v>
      </c>
      <c r="C74" s="3">
        <v>0.460416666666667</v>
      </c>
      <c r="D74" t="s">
        <v>190</v>
      </c>
      <c r="E74">
        <v>100.11</v>
      </c>
      <c r="F74" t="s">
        <v>31</v>
      </c>
      <c r="G74" t="s">
        <v>48</v>
      </c>
      <c r="H74" t="s">
        <v>4</v>
      </c>
      <c r="I74" t="s">
        <v>15</v>
      </c>
      <c r="J74" t="s">
        <v>22</v>
      </c>
      <c r="K74">
        <v>26</v>
      </c>
      <c r="L74" t="s">
        <v>49</v>
      </c>
      <c r="M74">
        <v>0</v>
      </c>
      <c r="N74">
        <f t="shared" si="7"/>
        <v>1</v>
      </c>
      <c r="P74" s="4">
        <f t="shared" si="4"/>
        <v>11</v>
      </c>
      <c r="Q74" s="4" t="str">
        <f t="shared" si="5"/>
        <v>Late Night</v>
      </c>
      <c r="R74" s="4" t="str">
        <f t="shared" si="6"/>
        <v>Low</v>
      </c>
    </row>
    <row r="75" spans="1:18">
      <c r="A75" t="s">
        <v>191</v>
      </c>
      <c r="B75" s="2">
        <v>46036</v>
      </c>
      <c r="C75" s="3">
        <v>0.0583333333333333</v>
      </c>
      <c r="D75" t="s">
        <v>192</v>
      </c>
      <c r="E75">
        <v>549.09</v>
      </c>
      <c r="F75" t="s">
        <v>31</v>
      </c>
      <c r="G75" t="s">
        <v>48</v>
      </c>
      <c r="H75" t="s">
        <v>3</v>
      </c>
      <c r="I75" t="s">
        <v>15</v>
      </c>
      <c r="J75" t="s">
        <v>18</v>
      </c>
      <c r="K75">
        <v>34</v>
      </c>
      <c r="L75" t="s">
        <v>159</v>
      </c>
      <c r="M75">
        <v>0</v>
      </c>
      <c r="N75">
        <f t="shared" si="7"/>
        <v>1</v>
      </c>
      <c r="P75" s="4">
        <f t="shared" si="4"/>
        <v>1</v>
      </c>
      <c r="Q75" s="4" t="str">
        <f t="shared" si="5"/>
        <v>Late Night</v>
      </c>
      <c r="R75" s="4" t="str">
        <f t="shared" si="6"/>
        <v>Low</v>
      </c>
    </row>
    <row r="76" spans="1:18">
      <c r="A76" t="s">
        <v>193</v>
      </c>
      <c r="B76" s="2">
        <v>46036</v>
      </c>
      <c r="C76" s="3">
        <v>0.405555555555556</v>
      </c>
      <c r="D76" t="s">
        <v>82</v>
      </c>
      <c r="E76">
        <v>102.71</v>
      </c>
      <c r="F76" t="s">
        <v>31</v>
      </c>
      <c r="G76" t="s">
        <v>48</v>
      </c>
      <c r="H76" t="s">
        <v>10</v>
      </c>
      <c r="I76" t="s">
        <v>15</v>
      </c>
      <c r="J76" t="s">
        <v>21</v>
      </c>
      <c r="K76">
        <v>44</v>
      </c>
      <c r="L76" t="s">
        <v>49</v>
      </c>
      <c r="M76">
        <v>0</v>
      </c>
      <c r="N76">
        <f t="shared" si="7"/>
        <v>1</v>
      </c>
      <c r="P76" s="4">
        <f t="shared" si="4"/>
        <v>9</v>
      </c>
      <c r="Q76" s="4" t="str">
        <f t="shared" si="5"/>
        <v>Late Night</v>
      </c>
      <c r="R76" s="4" t="str">
        <f t="shared" si="6"/>
        <v>Low</v>
      </c>
    </row>
    <row r="77" spans="1:18">
      <c r="A77" t="s">
        <v>194</v>
      </c>
      <c r="B77" s="2">
        <v>46036</v>
      </c>
      <c r="C77" s="3">
        <v>0.153472222222222</v>
      </c>
      <c r="D77" t="s">
        <v>195</v>
      </c>
      <c r="E77">
        <v>531.22</v>
      </c>
      <c r="F77" t="s">
        <v>29</v>
      </c>
      <c r="G77" t="s">
        <v>48</v>
      </c>
      <c r="H77" t="s">
        <v>5</v>
      </c>
      <c r="I77" t="s">
        <v>15</v>
      </c>
      <c r="J77" t="s">
        <v>24</v>
      </c>
      <c r="K77">
        <v>64</v>
      </c>
      <c r="L77" t="s">
        <v>49</v>
      </c>
      <c r="M77">
        <v>0</v>
      </c>
      <c r="N77">
        <f t="shared" si="7"/>
        <v>1</v>
      </c>
      <c r="P77" s="4">
        <f t="shared" si="4"/>
        <v>3</v>
      </c>
      <c r="Q77" s="4" t="str">
        <f t="shared" si="5"/>
        <v>Late Night</v>
      </c>
      <c r="R77" s="4" t="str">
        <f t="shared" si="6"/>
        <v>Low</v>
      </c>
    </row>
    <row r="78" spans="1:18">
      <c r="A78" t="s">
        <v>196</v>
      </c>
      <c r="B78" s="2">
        <v>46036</v>
      </c>
      <c r="C78" s="3">
        <v>0.558333333333333</v>
      </c>
      <c r="D78" t="s">
        <v>197</v>
      </c>
      <c r="E78">
        <v>196.43</v>
      </c>
      <c r="F78" t="s">
        <v>29</v>
      </c>
      <c r="G78" t="s">
        <v>48</v>
      </c>
      <c r="H78" t="s">
        <v>4</v>
      </c>
      <c r="I78" t="s">
        <v>15</v>
      </c>
      <c r="J78" t="s">
        <v>18</v>
      </c>
      <c r="K78">
        <v>19</v>
      </c>
      <c r="L78" t="s">
        <v>159</v>
      </c>
      <c r="M78">
        <v>0</v>
      </c>
      <c r="N78">
        <f t="shared" si="7"/>
        <v>1</v>
      </c>
      <c r="P78" s="4">
        <f t="shared" si="4"/>
        <v>13</v>
      </c>
      <c r="Q78" s="4" t="str">
        <f t="shared" si="5"/>
        <v>Late Night</v>
      </c>
      <c r="R78" s="4" t="str">
        <f t="shared" si="6"/>
        <v>Low</v>
      </c>
    </row>
    <row r="79" spans="1:18">
      <c r="A79" t="s">
        <v>198</v>
      </c>
      <c r="B79" s="2">
        <v>46036</v>
      </c>
      <c r="C79" s="3">
        <v>0.636805555555556</v>
      </c>
      <c r="D79" t="s">
        <v>167</v>
      </c>
      <c r="E79">
        <v>93.8</v>
      </c>
      <c r="F79" t="s">
        <v>31</v>
      </c>
      <c r="G79" t="s">
        <v>66</v>
      </c>
      <c r="H79" t="s">
        <v>10</v>
      </c>
      <c r="I79" t="s">
        <v>15</v>
      </c>
      <c r="J79" t="s">
        <v>21</v>
      </c>
      <c r="K79">
        <v>53</v>
      </c>
      <c r="L79" t="s">
        <v>49</v>
      </c>
      <c r="M79">
        <v>0</v>
      </c>
      <c r="N79">
        <f t="shared" si="7"/>
        <v>1</v>
      </c>
      <c r="P79" s="4">
        <f t="shared" si="4"/>
        <v>15</v>
      </c>
      <c r="Q79" s="4" t="str">
        <f t="shared" si="5"/>
        <v>Late Night</v>
      </c>
      <c r="R79" s="4" t="str">
        <f t="shared" si="6"/>
        <v>Low</v>
      </c>
    </row>
    <row r="80" spans="1:18">
      <c r="A80" t="s">
        <v>199</v>
      </c>
      <c r="B80" s="2">
        <v>46037</v>
      </c>
      <c r="C80" s="3">
        <v>0.610416666666667</v>
      </c>
      <c r="D80" t="s">
        <v>51</v>
      </c>
      <c r="E80">
        <v>357.74</v>
      </c>
      <c r="F80" t="s">
        <v>32</v>
      </c>
      <c r="G80" t="s">
        <v>59</v>
      </c>
      <c r="H80" t="s">
        <v>9</v>
      </c>
      <c r="I80" t="s">
        <v>16</v>
      </c>
      <c r="J80" t="s">
        <v>22</v>
      </c>
      <c r="K80">
        <v>36</v>
      </c>
      <c r="L80" t="s">
        <v>168</v>
      </c>
      <c r="M80">
        <v>1</v>
      </c>
      <c r="N80">
        <f t="shared" si="7"/>
        <v>1</v>
      </c>
      <c r="P80" s="4">
        <f t="shared" si="4"/>
        <v>14</v>
      </c>
      <c r="Q80" s="4" t="str">
        <f t="shared" si="5"/>
        <v>Late Night</v>
      </c>
      <c r="R80" s="4" t="str">
        <f t="shared" si="6"/>
        <v>Low</v>
      </c>
    </row>
    <row r="81" spans="1:18">
      <c r="A81" t="s">
        <v>200</v>
      </c>
      <c r="B81" s="2">
        <v>46037</v>
      </c>
      <c r="C81" s="3">
        <v>0.296527777777778</v>
      </c>
      <c r="D81" t="s">
        <v>201</v>
      </c>
      <c r="E81">
        <v>208</v>
      </c>
      <c r="F81" t="s">
        <v>31</v>
      </c>
      <c r="G81" t="s">
        <v>54</v>
      </c>
      <c r="H81" t="s">
        <v>4</v>
      </c>
      <c r="I81" t="s">
        <v>14</v>
      </c>
      <c r="J81" t="s">
        <v>23</v>
      </c>
      <c r="K81">
        <v>34</v>
      </c>
      <c r="L81" t="s">
        <v>49</v>
      </c>
      <c r="M81">
        <v>0</v>
      </c>
      <c r="N81">
        <f t="shared" si="7"/>
        <v>1</v>
      </c>
      <c r="P81" s="4">
        <f t="shared" si="4"/>
        <v>7</v>
      </c>
      <c r="Q81" s="4" t="str">
        <f t="shared" si="5"/>
        <v>Late Night</v>
      </c>
      <c r="R81" s="4" t="str">
        <f t="shared" si="6"/>
        <v>Low</v>
      </c>
    </row>
    <row r="82" spans="1:18">
      <c r="A82" t="s">
        <v>202</v>
      </c>
      <c r="B82" s="2">
        <v>46037</v>
      </c>
      <c r="C82" s="3">
        <v>0.568055555555556</v>
      </c>
      <c r="D82" t="s">
        <v>203</v>
      </c>
      <c r="E82">
        <v>269.96</v>
      </c>
      <c r="F82" t="s">
        <v>28</v>
      </c>
      <c r="G82" t="s">
        <v>48</v>
      </c>
      <c r="H82" t="s">
        <v>4</v>
      </c>
      <c r="I82" t="s">
        <v>16</v>
      </c>
      <c r="J82" t="s">
        <v>20</v>
      </c>
      <c r="K82">
        <v>22</v>
      </c>
      <c r="L82" t="s">
        <v>49</v>
      </c>
      <c r="M82">
        <v>0</v>
      </c>
      <c r="N82">
        <f t="shared" si="7"/>
        <v>1</v>
      </c>
      <c r="P82" s="4">
        <f t="shared" si="4"/>
        <v>13</v>
      </c>
      <c r="Q82" s="4" t="str">
        <f t="shared" si="5"/>
        <v>Late Night</v>
      </c>
      <c r="R82" s="4" t="str">
        <f t="shared" si="6"/>
        <v>Low</v>
      </c>
    </row>
    <row r="83" spans="1:18">
      <c r="A83" t="s">
        <v>204</v>
      </c>
      <c r="B83" s="2">
        <v>46037</v>
      </c>
      <c r="C83" s="3">
        <v>0.94375</v>
      </c>
      <c r="D83" t="s">
        <v>182</v>
      </c>
      <c r="E83">
        <v>224.87</v>
      </c>
      <c r="F83" t="s">
        <v>29</v>
      </c>
      <c r="G83" t="s">
        <v>71</v>
      </c>
      <c r="H83" t="s">
        <v>6</v>
      </c>
      <c r="I83" t="s">
        <v>15</v>
      </c>
      <c r="J83" t="s">
        <v>20</v>
      </c>
      <c r="K83">
        <v>56</v>
      </c>
      <c r="L83" t="s">
        <v>49</v>
      </c>
      <c r="M83">
        <v>0</v>
      </c>
      <c r="N83">
        <f t="shared" si="7"/>
        <v>1</v>
      </c>
      <c r="P83" s="4">
        <f t="shared" si="4"/>
        <v>22</v>
      </c>
      <c r="Q83" s="4" t="str">
        <f t="shared" si="5"/>
        <v>Late Night</v>
      </c>
      <c r="R83" s="4" t="str">
        <f t="shared" si="6"/>
        <v>Low</v>
      </c>
    </row>
    <row r="84" spans="1:18">
      <c r="A84" t="s">
        <v>205</v>
      </c>
      <c r="B84" s="2">
        <v>46037</v>
      </c>
      <c r="C84" s="3">
        <v>0.300694444444444</v>
      </c>
      <c r="D84" t="s">
        <v>206</v>
      </c>
      <c r="E84">
        <v>222.52</v>
      </c>
      <c r="F84" t="s">
        <v>30</v>
      </c>
      <c r="G84" t="s">
        <v>54</v>
      </c>
      <c r="H84" t="s">
        <v>4</v>
      </c>
      <c r="I84" t="s">
        <v>16</v>
      </c>
      <c r="J84" t="s">
        <v>22</v>
      </c>
      <c r="K84">
        <v>35</v>
      </c>
      <c r="L84" t="s">
        <v>49</v>
      </c>
      <c r="M84">
        <v>0</v>
      </c>
      <c r="N84">
        <f t="shared" si="7"/>
        <v>1</v>
      </c>
      <c r="P84" s="4">
        <f t="shared" si="4"/>
        <v>7</v>
      </c>
      <c r="Q84" s="4" t="str">
        <f t="shared" si="5"/>
        <v>Late Night</v>
      </c>
      <c r="R84" s="4" t="str">
        <f t="shared" si="6"/>
        <v>Low</v>
      </c>
    </row>
    <row r="85" spans="1:18">
      <c r="A85" t="s">
        <v>207</v>
      </c>
      <c r="B85" s="2">
        <v>46037</v>
      </c>
      <c r="C85" s="3">
        <v>0.854861111111111</v>
      </c>
      <c r="D85" t="s">
        <v>208</v>
      </c>
      <c r="E85">
        <v>403.65</v>
      </c>
      <c r="F85" t="s">
        <v>29</v>
      </c>
      <c r="G85" t="s">
        <v>48</v>
      </c>
      <c r="H85" t="s">
        <v>3</v>
      </c>
      <c r="I85" t="s">
        <v>15</v>
      </c>
      <c r="J85" t="s">
        <v>24</v>
      </c>
      <c r="K85">
        <v>24</v>
      </c>
      <c r="L85" t="s">
        <v>49</v>
      </c>
      <c r="M85">
        <v>0</v>
      </c>
      <c r="N85">
        <f t="shared" si="7"/>
        <v>1</v>
      </c>
      <c r="P85" s="4">
        <f t="shared" si="4"/>
        <v>20</v>
      </c>
      <c r="Q85" s="4" t="str">
        <f t="shared" si="5"/>
        <v>Late Night</v>
      </c>
      <c r="R85" s="4" t="str">
        <f t="shared" si="6"/>
        <v>Low</v>
      </c>
    </row>
    <row r="86" spans="1:18">
      <c r="A86" t="s">
        <v>209</v>
      </c>
      <c r="B86" s="2">
        <v>46038</v>
      </c>
      <c r="C86" s="3">
        <v>0.659722222222222</v>
      </c>
      <c r="D86" t="s">
        <v>210</v>
      </c>
      <c r="E86">
        <v>2401.4</v>
      </c>
      <c r="F86" t="s">
        <v>30</v>
      </c>
      <c r="G86" t="s">
        <v>59</v>
      </c>
      <c r="H86" t="s">
        <v>4</v>
      </c>
      <c r="I86" t="s">
        <v>15</v>
      </c>
      <c r="J86" t="s">
        <v>18</v>
      </c>
      <c r="K86">
        <v>34</v>
      </c>
      <c r="L86" t="s">
        <v>49</v>
      </c>
      <c r="M86">
        <v>0</v>
      </c>
      <c r="N86">
        <f t="shared" si="7"/>
        <v>1</v>
      </c>
      <c r="P86" s="4">
        <f t="shared" si="4"/>
        <v>15</v>
      </c>
      <c r="Q86" s="4" t="str">
        <f t="shared" si="5"/>
        <v>Late Night</v>
      </c>
      <c r="R86" s="4" t="str">
        <f t="shared" si="6"/>
        <v>Medium</v>
      </c>
    </row>
    <row r="87" spans="1:18">
      <c r="A87" t="s">
        <v>211</v>
      </c>
      <c r="B87" s="2">
        <v>46038</v>
      </c>
      <c r="C87" s="3">
        <v>0.525694444444444</v>
      </c>
      <c r="D87" t="s">
        <v>212</v>
      </c>
      <c r="E87">
        <v>631.94</v>
      </c>
      <c r="G87" t="s">
        <v>48</v>
      </c>
      <c r="H87" t="s">
        <v>3</v>
      </c>
      <c r="I87" t="s">
        <v>15</v>
      </c>
      <c r="J87" t="s">
        <v>23</v>
      </c>
      <c r="K87">
        <v>56</v>
      </c>
      <c r="L87" t="s">
        <v>49</v>
      </c>
      <c r="M87">
        <v>0</v>
      </c>
      <c r="N87">
        <f t="shared" si="7"/>
        <v>1</v>
      </c>
      <c r="O87" t="s">
        <v>43</v>
      </c>
      <c r="P87" s="4">
        <f t="shared" si="4"/>
        <v>12</v>
      </c>
      <c r="Q87" s="4" t="str">
        <f t="shared" si="5"/>
        <v>Late Night</v>
      </c>
      <c r="R87" s="4" t="str">
        <f t="shared" si="6"/>
        <v>Low</v>
      </c>
    </row>
    <row r="88" spans="1:18">
      <c r="A88" t="s">
        <v>213</v>
      </c>
      <c r="B88" s="2">
        <v>46038</v>
      </c>
      <c r="C88" s="3">
        <v>0.730555555555556</v>
      </c>
      <c r="D88" t="s">
        <v>214</v>
      </c>
      <c r="E88">
        <v>225.8</v>
      </c>
      <c r="F88" t="s">
        <v>30</v>
      </c>
      <c r="G88" t="s">
        <v>54</v>
      </c>
      <c r="H88" t="s">
        <v>9</v>
      </c>
      <c r="I88" t="s">
        <v>15</v>
      </c>
      <c r="J88" t="s">
        <v>19</v>
      </c>
      <c r="K88">
        <v>53</v>
      </c>
      <c r="L88" t="s">
        <v>49</v>
      </c>
      <c r="M88">
        <v>0</v>
      </c>
      <c r="N88">
        <f t="shared" si="7"/>
        <v>1</v>
      </c>
      <c r="P88" s="4">
        <f t="shared" si="4"/>
        <v>17</v>
      </c>
      <c r="Q88" s="4" t="str">
        <f t="shared" si="5"/>
        <v>Late Night</v>
      </c>
      <c r="R88" s="4" t="str">
        <f t="shared" si="6"/>
        <v>Low</v>
      </c>
    </row>
    <row r="89" spans="1:18">
      <c r="A89" t="s">
        <v>215</v>
      </c>
      <c r="B89" s="2">
        <v>46038</v>
      </c>
      <c r="C89" s="3">
        <v>0.598611111111111</v>
      </c>
      <c r="D89" t="s">
        <v>216</v>
      </c>
      <c r="E89">
        <v>132.87</v>
      </c>
      <c r="F89" t="s">
        <v>31</v>
      </c>
      <c r="G89" t="s">
        <v>54</v>
      </c>
      <c r="H89" t="s">
        <v>3</v>
      </c>
      <c r="I89" t="s">
        <v>15</v>
      </c>
      <c r="J89" t="s">
        <v>21</v>
      </c>
      <c r="K89">
        <v>57</v>
      </c>
      <c r="L89" t="s">
        <v>49</v>
      </c>
      <c r="M89">
        <v>0</v>
      </c>
      <c r="N89">
        <f t="shared" si="7"/>
        <v>1</v>
      </c>
      <c r="P89" s="4">
        <f t="shared" si="4"/>
        <v>14</v>
      </c>
      <c r="Q89" s="4" t="str">
        <f t="shared" si="5"/>
        <v>Late Night</v>
      </c>
      <c r="R89" s="4" t="str">
        <f t="shared" si="6"/>
        <v>Low</v>
      </c>
    </row>
    <row r="90" spans="1:18">
      <c r="A90" t="s">
        <v>217</v>
      </c>
      <c r="B90" s="2">
        <v>46038</v>
      </c>
      <c r="C90" s="3">
        <v>0.843055555555556</v>
      </c>
      <c r="D90" t="s">
        <v>188</v>
      </c>
      <c r="E90">
        <v>148.3</v>
      </c>
      <c r="F90" t="s">
        <v>30</v>
      </c>
      <c r="G90" t="s">
        <v>66</v>
      </c>
      <c r="H90" t="s">
        <v>10</v>
      </c>
      <c r="I90" t="s">
        <v>15</v>
      </c>
      <c r="J90" t="s">
        <v>22</v>
      </c>
      <c r="K90">
        <v>62</v>
      </c>
      <c r="L90" t="s">
        <v>159</v>
      </c>
      <c r="M90">
        <v>0</v>
      </c>
      <c r="N90">
        <f t="shared" si="7"/>
        <v>1</v>
      </c>
      <c r="P90" s="4">
        <f t="shared" si="4"/>
        <v>20</v>
      </c>
      <c r="Q90" s="4" t="str">
        <f t="shared" si="5"/>
        <v>Late Night</v>
      </c>
      <c r="R90" s="4" t="str">
        <f t="shared" si="6"/>
        <v>Low</v>
      </c>
    </row>
    <row r="91" spans="1:18">
      <c r="A91" t="s">
        <v>218</v>
      </c>
      <c r="B91" s="2">
        <v>46039</v>
      </c>
      <c r="C91" s="3">
        <v>0.980555555555556</v>
      </c>
      <c r="D91" t="s">
        <v>219</v>
      </c>
      <c r="E91">
        <v>51.62</v>
      </c>
      <c r="F91" t="s">
        <v>28</v>
      </c>
      <c r="G91" t="s">
        <v>54</v>
      </c>
      <c r="H91" t="s">
        <v>9</v>
      </c>
      <c r="I91" t="s">
        <v>15</v>
      </c>
      <c r="J91" t="s">
        <v>23</v>
      </c>
      <c r="K91">
        <v>21</v>
      </c>
      <c r="L91" t="s">
        <v>49</v>
      </c>
      <c r="M91">
        <v>0</v>
      </c>
      <c r="N91">
        <f t="shared" si="7"/>
        <v>1</v>
      </c>
      <c r="P91" s="4">
        <f t="shared" si="4"/>
        <v>23</v>
      </c>
      <c r="Q91" s="4" t="str">
        <f t="shared" si="5"/>
        <v>Late Night</v>
      </c>
      <c r="R91" s="4" t="str">
        <f t="shared" si="6"/>
        <v>Low</v>
      </c>
    </row>
    <row r="92" spans="1:18">
      <c r="A92" t="s">
        <v>220</v>
      </c>
      <c r="B92" s="2">
        <v>46039</v>
      </c>
      <c r="C92" s="3">
        <v>0.516666666666667</v>
      </c>
      <c r="D92" t="s">
        <v>221</v>
      </c>
      <c r="E92">
        <v>352.32</v>
      </c>
      <c r="F92" t="s">
        <v>30</v>
      </c>
      <c r="G92" t="s">
        <v>59</v>
      </c>
      <c r="H92" t="s">
        <v>9</v>
      </c>
      <c r="I92" t="s">
        <v>15</v>
      </c>
      <c r="J92" t="s">
        <v>23</v>
      </c>
      <c r="K92">
        <v>55</v>
      </c>
      <c r="L92" t="s">
        <v>49</v>
      </c>
      <c r="M92">
        <v>0</v>
      </c>
      <c r="N92">
        <f t="shared" si="7"/>
        <v>1</v>
      </c>
      <c r="P92" s="4">
        <f t="shared" si="4"/>
        <v>12</v>
      </c>
      <c r="Q92" s="4" t="str">
        <f t="shared" si="5"/>
        <v>Late Night</v>
      </c>
      <c r="R92" s="4" t="str">
        <f t="shared" si="6"/>
        <v>Low</v>
      </c>
    </row>
    <row r="93" spans="1:18">
      <c r="A93" t="s">
        <v>222</v>
      </c>
      <c r="B93" s="2">
        <v>46039</v>
      </c>
      <c r="C93" s="3">
        <v>0.344444444444444</v>
      </c>
      <c r="D93" t="s">
        <v>147</v>
      </c>
      <c r="E93">
        <v>65.7</v>
      </c>
      <c r="F93" t="s">
        <v>28</v>
      </c>
      <c r="G93" t="s">
        <v>71</v>
      </c>
      <c r="H93" t="s">
        <v>3</v>
      </c>
      <c r="I93" t="s">
        <v>15</v>
      </c>
      <c r="J93" t="s">
        <v>24</v>
      </c>
      <c r="K93">
        <v>42</v>
      </c>
      <c r="L93" t="s">
        <v>49</v>
      </c>
      <c r="M93">
        <v>0</v>
      </c>
      <c r="N93">
        <f t="shared" si="7"/>
        <v>1</v>
      </c>
      <c r="P93" s="4">
        <f t="shared" si="4"/>
        <v>8</v>
      </c>
      <c r="Q93" s="4" t="str">
        <f t="shared" si="5"/>
        <v>Late Night</v>
      </c>
      <c r="R93" s="4" t="str">
        <f t="shared" si="6"/>
        <v>Low</v>
      </c>
    </row>
    <row r="94" spans="1:18">
      <c r="A94" t="s">
        <v>223</v>
      </c>
      <c r="B94" s="2">
        <v>46039</v>
      </c>
      <c r="C94" s="3">
        <v>0.605555555555556</v>
      </c>
      <c r="D94" t="s">
        <v>127</v>
      </c>
      <c r="E94">
        <v>124.9</v>
      </c>
      <c r="F94" t="s">
        <v>29</v>
      </c>
      <c r="G94" t="s">
        <v>48</v>
      </c>
      <c r="H94" t="s">
        <v>8</v>
      </c>
      <c r="I94" t="s">
        <v>15</v>
      </c>
      <c r="J94" t="s">
        <v>21</v>
      </c>
      <c r="K94">
        <v>22</v>
      </c>
      <c r="L94" t="s">
        <v>49</v>
      </c>
      <c r="M94">
        <v>0</v>
      </c>
      <c r="N94">
        <f t="shared" si="7"/>
        <v>1</v>
      </c>
      <c r="P94" s="4">
        <f t="shared" si="4"/>
        <v>14</v>
      </c>
      <c r="Q94" s="4" t="str">
        <f t="shared" si="5"/>
        <v>Late Night</v>
      </c>
      <c r="R94" s="4" t="str">
        <f t="shared" si="6"/>
        <v>Low</v>
      </c>
    </row>
    <row r="95" spans="1:18">
      <c r="A95" t="s">
        <v>224</v>
      </c>
      <c r="B95" s="2">
        <v>46039</v>
      </c>
      <c r="C95" s="3">
        <v>0.531944444444444</v>
      </c>
      <c r="D95" t="s">
        <v>63</v>
      </c>
      <c r="E95">
        <v>354.37</v>
      </c>
      <c r="F95" t="s">
        <v>28</v>
      </c>
      <c r="G95" t="s">
        <v>48</v>
      </c>
      <c r="H95" t="s">
        <v>5</v>
      </c>
      <c r="I95" t="s">
        <v>15</v>
      </c>
      <c r="J95" t="s">
        <v>23</v>
      </c>
      <c r="K95">
        <v>47</v>
      </c>
      <c r="L95" t="s">
        <v>49</v>
      </c>
      <c r="M95">
        <v>0</v>
      </c>
      <c r="N95">
        <f t="shared" si="7"/>
        <v>1</v>
      </c>
      <c r="P95" s="4">
        <f t="shared" si="4"/>
        <v>12</v>
      </c>
      <c r="Q95" s="4" t="str">
        <f t="shared" si="5"/>
        <v>Late Night</v>
      </c>
      <c r="R95" s="4" t="str">
        <f t="shared" si="6"/>
        <v>Low</v>
      </c>
    </row>
    <row r="96" spans="1:18">
      <c r="A96" t="s">
        <v>225</v>
      </c>
      <c r="B96" s="2">
        <v>46039</v>
      </c>
      <c r="C96" s="3">
        <v>0.0375</v>
      </c>
      <c r="D96" t="s">
        <v>226</v>
      </c>
      <c r="E96">
        <v>142.98</v>
      </c>
      <c r="F96" t="s">
        <v>29</v>
      </c>
      <c r="G96" t="s">
        <v>54</v>
      </c>
      <c r="H96" t="s">
        <v>7</v>
      </c>
      <c r="I96" t="s">
        <v>14</v>
      </c>
      <c r="J96" t="s">
        <v>24</v>
      </c>
      <c r="K96">
        <v>29</v>
      </c>
      <c r="L96" t="s">
        <v>49</v>
      </c>
      <c r="M96">
        <v>1</v>
      </c>
      <c r="N96">
        <f t="shared" si="7"/>
        <v>1</v>
      </c>
      <c r="P96" s="4">
        <f t="shared" si="4"/>
        <v>0</v>
      </c>
      <c r="Q96" s="4" t="str">
        <f t="shared" si="5"/>
        <v>Late Night</v>
      </c>
      <c r="R96" s="4" t="str">
        <f t="shared" si="6"/>
        <v>Low</v>
      </c>
    </row>
    <row r="97" spans="1:18">
      <c r="A97" t="s">
        <v>227</v>
      </c>
      <c r="B97" s="2">
        <v>46040</v>
      </c>
      <c r="C97" s="3">
        <v>0.250694444444444</v>
      </c>
      <c r="D97" t="s">
        <v>228</v>
      </c>
      <c r="E97">
        <v>110.8</v>
      </c>
      <c r="F97" t="s">
        <v>31</v>
      </c>
      <c r="G97" t="s">
        <v>54</v>
      </c>
      <c r="H97" t="s">
        <v>8</v>
      </c>
      <c r="I97" t="s">
        <v>14</v>
      </c>
      <c r="J97" t="s">
        <v>18</v>
      </c>
      <c r="K97">
        <v>21</v>
      </c>
      <c r="L97" t="s">
        <v>49</v>
      </c>
      <c r="M97">
        <v>0</v>
      </c>
      <c r="N97">
        <f t="shared" si="7"/>
        <v>1</v>
      </c>
      <c r="P97" s="4">
        <f t="shared" si="4"/>
        <v>6</v>
      </c>
      <c r="Q97" s="4" t="str">
        <f t="shared" si="5"/>
        <v>Late Night</v>
      </c>
      <c r="R97" s="4" t="str">
        <f t="shared" si="6"/>
        <v>Low</v>
      </c>
    </row>
    <row r="98" spans="1:18">
      <c r="A98" t="s">
        <v>229</v>
      </c>
      <c r="B98" s="2">
        <v>46040</v>
      </c>
      <c r="C98" s="3">
        <v>0.342361111111111</v>
      </c>
      <c r="D98" t="s">
        <v>230</v>
      </c>
      <c r="E98">
        <v>54.74</v>
      </c>
      <c r="F98" t="s">
        <v>31</v>
      </c>
      <c r="G98" t="s">
        <v>54</v>
      </c>
      <c r="H98" t="s">
        <v>4</v>
      </c>
      <c r="I98" t="s">
        <v>15</v>
      </c>
      <c r="J98" t="s">
        <v>24</v>
      </c>
      <c r="K98">
        <v>41</v>
      </c>
      <c r="L98" t="s">
        <v>49</v>
      </c>
      <c r="M98">
        <v>0</v>
      </c>
      <c r="N98">
        <f t="shared" si="7"/>
        <v>1</v>
      </c>
      <c r="P98" s="4">
        <f t="shared" si="4"/>
        <v>8</v>
      </c>
      <c r="Q98" s="4" t="str">
        <f t="shared" si="5"/>
        <v>Late Night</v>
      </c>
      <c r="R98" s="4" t="str">
        <f t="shared" si="6"/>
        <v>Low</v>
      </c>
    </row>
    <row r="99" spans="1:18">
      <c r="A99" t="s">
        <v>231</v>
      </c>
      <c r="B99" s="2">
        <v>46040</v>
      </c>
      <c r="C99" s="3">
        <v>0.994444444444444</v>
      </c>
      <c r="D99" t="s">
        <v>232</v>
      </c>
      <c r="E99">
        <v>605.06</v>
      </c>
      <c r="F99" t="s">
        <v>31</v>
      </c>
      <c r="G99" t="s">
        <v>71</v>
      </c>
      <c r="H99" t="s">
        <v>6</v>
      </c>
      <c r="I99" t="s">
        <v>15</v>
      </c>
      <c r="J99" t="s">
        <v>18</v>
      </c>
      <c r="K99">
        <v>46</v>
      </c>
      <c r="L99" t="s">
        <v>49</v>
      </c>
      <c r="M99">
        <v>0</v>
      </c>
      <c r="N99">
        <f t="shared" si="7"/>
        <v>1</v>
      </c>
      <c r="P99" s="4">
        <f t="shared" si="4"/>
        <v>23</v>
      </c>
      <c r="Q99" s="4" t="str">
        <f t="shared" si="5"/>
        <v>Late Night</v>
      </c>
      <c r="R99" s="4" t="str">
        <f t="shared" si="6"/>
        <v>Low</v>
      </c>
    </row>
    <row r="100" spans="1:18">
      <c r="A100" t="s">
        <v>233</v>
      </c>
      <c r="B100" s="2">
        <v>46040</v>
      </c>
      <c r="C100" s="3">
        <v>0.0270833333333333</v>
      </c>
      <c r="D100" t="s">
        <v>110</v>
      </c>
      <c r="E100">
        <v>78.79</v>
      </c>
      <c r="F100" t="s">
        <v>31</v>
      </c>
      <c r="G100" t="s">
        <v>59</v>
      </c>
      <c r="H100" t="s">
        <v>7</v>
      </c>
      <c r="I100" t="s">
        <v>15</v>
      </c>
      <c r="J100" t="s">
        <v>18</v>
      </c>
      <c r="K100">
        <v>26</v>
      </c>
      <c r="L100" t="s">
        <v>85</v>
      </c>
      <c r="M100">
        <v>1</v>
      </c>
      <c r="N100">
        <f t="shared" si="7"/>
        <v>1</v>
      </c>
      <c r="P100" s="4">
        <f t="shared" si="4"/>
        <v>0</v>
      </c>
      <c r="Q100" s="4" t="str">
        <f t="shared" si="5"/>
        <v>Late Night</v>
      </c>
      <c r="R100" s="4" t="str">
        <f t="shared" si="6"/>
        <v>Low</v>
      </c>
    </row>
    <row r="101" spans="1:18">
      <c r="A101" t="s">
        <v>234</v>
      </c>
      <c r="B101" s="2">
        <v>46040</v>
      </c>
      <c r="C101" s="3">
        <v>0.485416666666667</v>
      </c>
      <c r="D101" t="s">
        <v>235</v>
      </c>
      <c r="E101">
        <v>100.9</v>
      </c>
      <c r="F101" t="s">
        <v>30</v>
      </c>
      <c r="G101" t="s">
        <v>59</v>
      </c>
      <c r="H101" t="s">
        <v>4</v>
      </c>
      <c r="I101" t="s">
        <v>14</v>
      </c>
      <c r="J101" t="s">
        <v>19</v>
      </c>
      <c r="K101">
        <v>21</v>
      </c>
      <c r="L101" t="s">
        <v>49</v>
      </c>
      <c r="M101">
        <v>0</v>
      </c>
      <c r="N101">
        <f t="shared" si="7"/>
        <v>1</v>
      </c>
      <c r="P101" s="4">
        <f t="shared" si="4"/>
        <v>11</v>
      </c>
      <c r="Q101" s="4" t="str">
        <f t="shared" si="5"/>
        <v>Late Night</v>
      </c>
      <c r="R101" s="4" t="str">
        <f t="shared" si="6"/>
        <v>Low</v>
      </c>
    </row>
    <row r="102" spans="1:18">
      <c r="A102" t="s">
        <v>236</v>
      </c>
      <c r="B102" s="2">
        <v>46041</v>
      </c>
      <c r="C102" s="3">
        <v>0.326388888888889</v>
      </c>
      <c r="D102" t="s">
        <v>237</v>
      </c>
      <c r="E102">
        <v>30.21</v>
      </c>
      <c r="F102" t="s">
        <v>31</v>
      </c>
      <c r="G102" t="s">
        <v>48</v>
      </c>
      <c r="H102" t="s">
        <v>8</v>
      </c>
      <c r="I102" t="s">
        <v>15</v>
      </c>
      <c r="J102" t="s">
        <v>19</v>
      </c>
      <c r="K102">
        <v>41</v>
      </c>
      <c r="L102" t="s">
        <v>49</v>
      </c>
      <c r="M102">
        <v>0</v>
      </c>
      <c r="N102">
        <f t="shared" si="7"/>
        <v>1</v>
      </c>
      <c r="P102" s="4">
        <f t="shared" si="4"/>
        <v>7</v>
      </c>
      <c r="Q102" s="4" t="str">
        <f t="shared" si="5"/>
        <v>Late Night</v>
      </c>
      <c r="R102" s="4" t="str">
        <f t="shared" si="6"/>
        <v>Low</v>
      </c>
    </row>
    <row r="103" spans="1:18">
      <c r="A103" t="s">
        <v>238</v>
      </c>
      <c r="B103" s="2">
        <v>46041</v>
      </c>
      <c r="C103" s="3">
        <v>0.984722222222222</v>
      </c>
      <c r="D103" t="s">
        <v>239</v>
      </c>
      <c r="E103">
        <v>177.71</v>
      </c>
      <c r="F103" t="s">
        <v>32</v>
      </c>
      <c r="G103" t="s">
        <v>66</v>
      </c>
      <c r="H103" t="s">
        <v>8</v>
      </c>
      <c r="I103" t="s">
        <v>15</v>
      </c>
      <c r="J103" t="s">
        <v>23</v>
      </c>
      <c r="K103">
        <v>31</v>
      </c>
      <c r="L103" t="s">
        <v>49</v>
      </c>
      <c r="M103">
        <v>0</v>
      </c>
      <c r="N103">
        <f t="shared" si="7"/>
        <v>1</v>
      </c>
      <c r="P103" s="4">
        <f t="shared" si="4"/>
        <v>23</v>
      </c>
      <c r="Q103" s="4" t="str">
        <f t="shared" si="5"/>
        <v>Late Night</v>
      </c>
      <c r="R103" s="4" t="str">
        <f t="shared" si="6"/>
        <v>Low</v>
      </c>
    </row>
    <row r="104" spans="1:18">
      <c r="A104" t="s">
        <v>240</v>
      </c>
      <c r="B104" s="2">
        <v>46041</v>
      </c>
      <c r="C104" s="3">
        <v>0.451388888888889</v>
      </c>
      <c r="D104" t="s">
        <v>241</v>
      </c>
      <c r="E104">
        <v>129.89</v>
      </c>
      <c r="F104" t="s">
        <v>31</v>
      </c>
      <c r="G104" t="s">
        <v>71</v>
      </c>
      <c r="H104" t="s">
        <v>4</v>
      </c>
      <c r="I104" t="s">
        <v>15</v>
      </c>
      <c r="J104" t="s">
        <v>24</v>
      </c>
      <c r="K104">
        <v>22</v>
      </c>
      <c r="L104" t="s">
        <v>49</v>
      </c>
      <c r="M104">
        <v>0</v>
      </c>
      <c r="N104">
        <f t="shared" si="7"/>
        <v>1</v>
      </c>
      <c r="P104" s="4">
        <f t="shared" si="4"/>
        <v>10</v>
      </c>
      <c r="Q104" s="4" t="str">
        <f t="shared" si="5"/>
        <v>Late Night</v>
      </c>
      <c r="R104" s="4" t="str">
        <f t="shared" si="6"/>
        <v>Low</v>
      </c>
    </row>
    <row r="105" spans="1:18">
      <c r="A105" t="s">
        <v>242</v>
      </c>
      <c r="B105" s="2">
        <v>46041</v>
      </c>
      <c r="C105" s="3">
        <v>0.753472222222222</v>
      </c>
      <c r="D105" t="s">
        <v>243</v>
      </c>
      <c r="E105">
        <v>217.43</v>
      </c>
      <c r="F105" t="s">
        <v>31</v>
      </c>
      <c r="G105" t="s">
        <v>66</v>
      </c>
      <c r="H105" t="s">
        <v>9</v>
      </c>
      <c r="I105" t="s">
        <v>15</v>
      </c>
      <c r="J105" t="s">
        <v>19</v>
      </c>
      <c r="K105">
        <v>35</v>
      </c>
      <c r="L105" t="s">
        <v>49</v>
      </c>
      <c r="M105">
        <v>0</v>
      </c>
      <c r="N105">
        <f t="shared" si="7"/>
        <v>1</v>
      </c>
      <c r="P105" s="4">
        <f t="shared" si="4"/>
        <v>18</v>
      </c>
      <c r="Q105" s="4" t="str">
        <f t="shared" si="5"/>
        <v>Late Night</v>
      </c>
      <c r="R105" s="4" t="str">
        <f t="shared" si="6"/>
        <v>Low</v>
      </c>
    </row>
    <row r="106" spans="1:18">
      <c r="A106" t="s">
        <v>244</v>
      </c>
      <c r="B106" s="2">
        <v>46041</v>
      </c>
      <c r="C106" s="3">
        <v>0.670138888888889</v>
      </c>
      <c r="D106" t="s">
        <v>151</v>
      </c>
      <c r="E106">
        <v>56</v>
      </c>
      <c r="F106" t="s">
        <v>29</v>
      </c>
      <c r="G106" t="s">
        <v>48</v>
      </c>
      <c r="H106" t="s">
        <v>4</v>
      </c>
      <c r="I106" t="s">
        <v>15</v>
      </c>
      <c r="J106" t="s">
        <v>18</v>
      </c>
      <c r="K106">
        <v>59</v>
      </c>
      <c r="L106" t="s">
        <v>49</v>
      </c>
      <c r="M106">
        <v>0</v>
      </c>
      <c r="N106">
        <f t="shared" si="7"/>
        <v>1</v>
      </c>
      <c r="P106" s="4">
        <f t="shared" si="4"/>
        <v>16</v>
      </c>
      <c r="Q106" s="4" t="str">
        <f t="shared" si="5"/>
        <v>Late Night</v>
      </c>
      <c r="R106" s="4" t="str">
        <f t="shared" si="6"/>
        <v>Low</v>
      </c>
    </row>
    <row r="107" spans="1:18">
      <c r="A107" t="s">
        <v>245</v>
      </c>
      <c r="B107" s="2">
        <v>46041</v>
      </c>
      <c r="C107" s="3">
        <v>0.293055555555556</v>
      </c>
      <c r="D107" t="s">
        <v>56</v>
      </c>
      <c r="E107">
        <v>377.73</v>
      </c>
      <c r="F107" t="s">
        <v>29</v>
      </c>
      <c r="G107" t="s">
        <v>59</v>
      </c>
      <c r="H107" t="s">
        <v>6</v>
      </c>
      <c r="I107" t="s">
        <v>14</v>
      </c>
      <c r="J107" t="s">
        <v>19</v>
      </c>
      <c r="K107">
        <v>36</v>
      </c>
      <c r="L107" t="s">
        <v>49</v>
      </c>
      <c r="M107">
        <v>0</v>
      </c>
      <c r="N107">
        <f t="shared" si="7"/>
        <v>1</v>
      </c>
      <c r="P107" s="4">
        <f t="shared" si="4"/>
        <v>7</v>
      </c>
      <c r="Q107" s="4" t="str">
        <f t="shared" si="5"/>
        <v>Late Night</v>
      </c>
      <c r="R107" s="4" t="str">
        <f t="shared" si="6"/>
        <v>Low</v>
      </c>
    </row>
    <row r="108" spans="1:18">
      <c r="A108" t="s">
        <v>246</v>
      </c>
      <c r="B108" s="2">
        <v>46042</v>
      </c>
      <c r="C108" s="3">
        <v>0.0875</v>
      </c>
      <c r="D108" t="s">
        <v>247</v>
      </c>
      <c r="E108">
        <v>28.81</v>
      </c>
      <c r="F108" t="s">
        <v>28</v>
      </c>
      <c r="G108" t="s">
        <v>48</v>
      </c>
      <c r="H108" t="s">
        <v>8</v>
      </c>
      <c r="I108" t="s">
        <v>15</v>
      </c>
      <c r="J108" t="s">
        <v>21</v>
      </c>
      <c r="K108">
        <v>29</v>
      </c>
      <c r="L108" t="s">
        <v>49</v>
      </c>
      <c r="M108">
        <v>0</v>
      </c>
      <c r="N108">
        <f t="shared" si="7"/>
        <v>1</v>
      </c>
      <c r="P108" s="4">
        <f t="shared" si="4"/>
        <v>2</v>
      </c>
      <c r="Q108" s="4" t="str">
        <f t="shared" si="5"/>
        <v>Late Night</v>
      </c>
      <c r="R108" s="4" t="str">
        <f t="shared" si="6"/>
        <v>Low</v>
      </c>
    </row>
    <row r="109" spans="1:18">
      <c r="A109" t="s">
        <v>248</v>
      </c>
      <c r="B109" s="2">
        <v>46042</v>
      </c>
      <c r="C109" s="3">
        <v>0.118055555555556</v>
      </c>
      <c r="D109" t="s">
        <v>249</v>
      </c>
      <c r="E109">
        <v>165.31</v>
      </c>
      <c r="F109" t="s">
        <v>28</v>
      </c>
      <c r="G109" t="s">
        <v>48</v>
      </c>
      <c r="H109" t="s">
        <v>4</v>
      </c>
      <c r="I109" t="s">
        <v>15</v>
      </c>
      <c r="J109" t="s">
        <v>23</v>
      </c>
      <c r="K109">
        <v>35</v>
      </c>
      <c r="L109" t="s">
        <v>49</v>
      </c>
      <c r="M109">
        <v>0</v>
      </c>
      <c r="N109">
        <f t="shared" si="7"/>
        <v>1</v>
      </c>
      <c r="P109" s="4">
        <f t="shared" si="4"/>
        <v>2</v>
      </c>
      <c r="Q109" s="4" t="str">
        <f t="shared" si="5"/>
        <v>Late Night</v>
      </c>
      <c r="R109" s="4" t="str">
        <f t="shared" si="6"/>
        <v>Low</v>
      </c>
    </row>
    <row r="110" spans="1:18">
      <c r="A110" t="s">
        <v>250</v>
      </c>
      <c r="B110" s="2">
        <v>46042</v>
      </c>
      <c r="C110" s="3">
        <v>0.00486111111111111</v>
      </c>
      <c r="D110" t="s">
        <v>235</v>
      </c>
      <c r="E110">
        <v>203.46</v>
      </c>
      <c r="F110" t="s">
        <v>29</v>
      </c>
      <c r="G110" t="s">
        <v>48</v>
      </c>
      <c r="H110" t="s">
        <v>3</v>
      </c>
      <c r="I110" t="s">
        <v>14</v>
      </c>
      <c r="J110" t="s">
        <v>24</v>
      </c>
      <c r="K110">
        <v>34</v>
      </c>
      <c r="L110" t="s">
        <v>49</v>
      </c>
      <c r="M110">
        <v>1</v>
      </c>
      <c r="N110">
        <f t="shared" si="7"/>
        <v>1</v>
      </c>
      <c r="P110" s="4">
        <f t="shared" si="4"/>
        <v>0</v>
      </c>
      <c r="Q110" s="4" t="str">
        <f t="shared" si="5"/>
        <v>Late Night</v>
      </c>
      <c r="R110" s="4" t="str">
        <f t="shared" si="6"/>
        <v>Low</v>
      </c>
    </row>
    <row r="111" spans="1:18">
      <c r="A111" t="s">
        <v>251</v>
      </c>
      <c r="B111" s="2">
        <v>46042</v>
      </c>
      <c r="C111" s="3">
        <v>0.195138888888889</v>
      </c>
      <c r="D111" t="s">
        <v>186</v>
      </c>
      <c r="E111">
        <v>192.05</v>
      </c>
      <c r="F111" t="s">
        <v>31</v>
      </c>
      <c r="G111" t="s">
        <v>59</v>
      </c>
      <c r="H111" t="s">
        <v>7</v>
      </c>
      <c r="I111" t="s">
        <v>14</v>
      </c>
      <c r="J111" t="s">
        <v>24</v>
      </c>
      <c r="K111">
        <v>47</v>
      </c>
      <c r="L111" t="s">
        <v>49</v>
      </c>
      <c r="M111">
        <v>0</v>
      </c>
      <c r="N111">
        <f t="shared" si="7"/>
        <v>1</v>
      </c>
      <c r="P111" s="4">
        <f t="shared" si="4"/>
        <v>4</v>
      </c>
      <c r="Q111" s="4" t="str">
        <f t="shared" si="5"/>
        <v>Late Night</v>
      </c>
      <c r="R111" s="4" t="str">
        <f t="shared" si="6"/>
        <v>Low</v>
      </c>
    </row>
    <row r="112" spans="1:18">
      <c r="A112" t="s">
        <v>252</v>
      </c>
      <c r="B112" s="2">
        <v>46042</v>
      </c>
      <c r="C112" s="3">
        <v>0.410416666666667</v>
      </c>
      <c r="D112" t="s">
        <v>253</v>
      </c>
      <c r="E112">
        <v>212.25</v>
      </c>
      <c r="F112" t="s">
        <v>32</v>
      </c>
      <c r="G112" t="s">
        <v>59</v>
      </c>
      <c r="H112" t="s">
        <v>3</v>
      </c>
      <c r="I112" t="s">
        <v>15</v>
      </c>
      <c r="J112" t="s">
        <v>20</v>
      </c>
      <c r="K112">
        <v>41</v>
      </c>
      <c r="L112" t="s">
        <v>49</v>
      </c>
      <c r="M112">
        <v>0</v>
      </c>
      <c r="N112">
        <f t="shared" si="7"/>
        <v>1</v>
      </c>
      <c r="P112" s="4">
        <f t="shared" si="4"/>
        <v>9</v>
      </c>
      <c r="Q112" s="4" t="str">
        <f t="shared" si="5"/>
        <v>Late Night</v>
      </c>
      <c r="R112" s="4" t="str">
        <f t="shared" si="6"/>
        <v>Low</v>
      </c>
    </row>
    <row r="113" spans="1:18">
      <c r="A113" t="s">
        <v>254</v>
      </c>
      <c r="B113" s="2">
        <v>46043</v>
      </c>
      <c r="C113" s="3">
        <v>0.259722222222222</v>
      </c>
      <c r="D113" t="s">
        <v>255</v>
      </c>
      <c r="E113">
        <v>398.88</v>
      </c>
      <c r="F113" t="s">
        <v>32</v>
      </c>
      <c r="G113" t="s">
        <v>48</v>
      </c>
      <c r="H113" t="s">
        <v>6</v>
      </c>
      <c r="I113" t="s">
        <v>15</v>
      </c>
      <c r="J113" t="s">
        <v>24</v>
      </c>
      <c r="K113">
        <v>28</v>
      </c>
      <c r="L113" t="s">
        <v>49</v>
      </c>
      <c r="M113">
        <v>1</v>
      </c>
      <c r="N113">
        <f t="shared" si="7"/>
        <v>1</v>
      </c>
      <c r="P113" s="4">
        <f t="shared" si="4"/>
        <v>6</v>
      </c>
      <c r="Q113" s="4" t="str">
        <f t="shared" si="5"/>
        <v>Late Night</v>
      </c>
      <c r="R113" s="4" t="str">
        <f t="shared" si="6"/>
        <v>Low</v>
      </c>
    </row>
    <row r="114" spans="1:18">
      <c r="A114" t="s">
        <v>256</v>
      </c>
      <c r="B114" s="2">
        <v>46043</v>
      </c>
      <c r="C114" s="3">
        <v>0.365277777777778</v>
      </c>
      <c r="D114" t="s">
        <v>257</v>
      </c>
      <c r="E114">
        <v>681.77</v>
      </c>
      <c r="F114" t="s">
        <v>29</v>
      </c>
      <c r="G114" t="s">
        <v>54</v>
      </c>
      <c r="H114" t="s">
        <v>4</v>
      </c>
      <c r="I114" t="s">
        <v>15</v>
      </c>
      <c r="J114" t="s">
        <v>23</v>
      </c>
      <c r="K114">
        <v>52</v>
      </c>
      <c r="L114" t="s">
        <v>49</v>
      </c>
      <c r="M114">
        <v>0</v>
      </c>
      <c r="N114">
        <f t="shared" si="7"/>
        <v>1</v>
      </c>
      <c r="P114" s="4">
        <f t="shared" si="4"/>
        <v>8</v>
      </c>
      <c r="Q114" s="4" t="str">
        <f t="shared" si="5"/>
        <v>Late Night</v>
      </c>
      <c r="R114" s="4" t="str">
        <f t="shared" si="6"/>
        <v>Low</v>
      </c>
    </row>
    <row r="115" spans="1:18">
      <c r="A115" t="s">
        <v>258</v>
      </c>
      <c r="B115" s="2">
        <v>46043</v>
      </c>
      <c r="C115" s="3">
        <v>0.269444444444444</v>
      </c>
      <c r="D115" t="s">
        <v>73</v>
      </c>
      <c r="E115">
        <v>155.15</v>
      </c>
      <c r="F115" t="s">
        <v>31</v>
      </c>
      <c r="G115" t="s">
        <v>54</v>
      </c>
      <c r="H115" t="s">
        <v>10</v>
      </c>
      <c r="I115" t="s">
        <v>16</v>
      </c>
      <c r="J115" t="s">
        <v>21</v>
      </c>
      <c r="K115">
        <v>40</v>
      </c>
      <c r="L115" t="s">
        <v>49</v>
      </c>
      <c r="M115">
        <v>0</v>
      </c>
      <c r="N115">
        <f t="shared" si="7"/>
        <v>1</v>
      </c>
      <c r="P115" s="4">
        <f t="shared" si="4"/>
        <v>6</v>
      </c>
      <c r="Q115" s="4" t="str">
        <f t="shared" si="5"/>
        <v>Late Night</v>
      </c>
      <c r="R115" s="4" t="str">
        <f t="shared" si="6"/>
        <v>Low</v>
      </c>
    </row>
    <row r="116" spans="1:18">
      <c r="A116" t="s">
        <v>259</v>
      </c>
      <c r="B116" s="2">
        <v>46043</v>
      </c>
      <c r="C116" s="3">
        <v>0.355555555555556</v>
      </c>
      <c r="D116" t="s">
        <v>260</v>
      </c>
      <c r="E116">
        <v>68.87</v>
      </c>
      <c r="F116" t="s">
        <v>29</v>
      </c>
      <c r="G116" t="s">
        <v>54</v>
      </c>
      <c r="H116" t="s">
        <v>6</v>
      </c>
      <c r="I116" t="s">
        <v>15</v>
      </c>
      <c r="J116" t="s">
        <v>24</v>
      </c>
      <c r="K116">
        <v>34</v>
      </c>
      <c r="L116" t="s">
        <v>49</v>
      </c>
      <c r="M116">
        <v>0</v>
      </c>
      <c r="N116">
        <f t="shared" si="7"/>
        <v>1</v>
      </c>
      <c r="P116" s="4">
        <f t="shared" si="4"/>
        <v>8</v>
      </c>
      <c r="Q116" s="4" t="str">
        <f t="shared" si="5"/>
        <v>Late Night</v>
      </c>
      <c r="R116" s="4" t="str">
        <f t="shared" si="6"/>
        <v>Low</v>
      </c>
    </row>
    <row r="117" spans="1:18">
      <c r="A117" t="s">
        <v>261</v>
      </c>
      <c r="B117" s="2">
        <v>46043</v>
      </c>
      <c r="C117" s="3">
        <v>0.327083333333333</v>
      </c>
      <c r="D117" t="s">
        <v>262</v>
      </c>
      <c r="E117">
        <v>317.58</v>
      </c>
      <c r="F117" t="s">
        <v>31</v>
      </c>
      <c r="G117" t="s">
        <v>48</v>
      </c>
      <c r="H117" t="s">
        <v>9</v>
      </c>
      <c r="I117" t="s">
        <v>16</v>
      </c>
      <c r="J117" t="s">
        <v>20</v>
      </c>
      <c r="K117">
        <v>18</v>
      </c>
      <c r="L117" t="s">
        <v>49</v>
      </c>
      <c r="M117">
        <v>0</v>
      </c>
      <c r="N117">
        <f t="shared" si="7"/>
        <v>1</v>
      </c>
      <c r="P117" s="4">
        <f t="shared" si="4"/>
        <v>7</v>
      </c>
      <c r="Q117" s="4" t="str">
        <f t="shared" si="5"/>
        <v>Late Night</v>
      </c>
      <c r="R117" s="4" t="str">
        <f t="shared" si="6"/>
        <v>Low</v>
      </c>
    </row>
    <row r="118" spans="1:18">
      <c r="A118" t="s">
        <v>263</v>
      </c>
      <c r="B118" s="2">
        <v>46043</v>
      </c>
      <c r="C118" s="3">
        <v>0.478472222222222</v>
      </c>
      <c r="D118" t="s">
        <v>264</v>
      </c>
      <c r="E118">
        <v>136.97</v>
      </c>
      <c r="F118" t="s">
        <v>31</v>
      </c>
      <c r="G118" t="s">
        <v>54</v>
      </c>
      <c r="H118" t="s">
        <v>3</v>
      </c>
      <c r="I118" t="s">
        <v>15</v>
      </c>
      <c r="J118" t="s">
        <v>23</v>
      </c>
      <c r="K118">
        <v>32</v>
      </c>
      <c r="L118" t="s">
        <v>49</v>
      </c>
      <c r="M118">
        <v>0</v>
      </c>
      <c r="N118">
        <f t="shared" si="7"/>
        <v>1</v>
      </c>
      <c r="P118" s="4">
        <f t="shared" si="4"/>
        <v>11</v>
      </c>
      <c r="Q118" s="4" t="str">
        <f t="shared" si="5"/>
        <v>Late Night</v>
      </c>
      <c r="R118" s="4" t="str">
        <f t="shared" si="6"/>
        <v>Low</v>
      </c>
    </row>
    <row r="119" spans="1:18">
      <c r="A119" t="s">
        <v>265</v>
      </c>
      <c r="B119" s="2">
        <v>46044</v>
      </c>
      <c r="C119" s="3">
        <v>0.0680555555555555</v>
      </c>
      <c r="D119" t="s">
        <v>266</v>
      </c>
      <c r="E119">
        <v>642.02</v>
      </c>
      <c r="F119" t="s">
        <v>31</v>
      </c>
      <c r="G119" t="s">
        <v>66</v>
      </c>
      <c r="H119" t="s">
        <v>3</v>
      </c>
      <c r="I119" t="s">
        <v>15</v>
      </c>
      <c r="J119" t="s">
        <v>18</v>
      </c>
      <c r="K119">
        <v>49</v>
      </c>
      <c r="L119" t="s">
        <v>49</v>
      </c>
      <c r="M119">
        <v>0</v>
      </c>
      <c r="N119">
        <f t="shared" si="7"/>
        <v>1</v>
      </c>
      <c r="P119" s="4">
        <f t="shared" si="4"/>
        <v>1</v>
      </c>
      <c r="Q119" s="4" t="str">
        <f t="shared" si="5"/>
        <v>Late Night</v>
      </c>
      <c r="R119" s="4" t="str">
        <f t="shared" si="6"/>
        <v>Low</v>
      </c>
    </row>
    <row r="120" spans="1:18">
      <c r="A120" t="s">
        <v>267</v>
      </c>
      <c r="B120" s="2">
        <v>46044</v>
      </c>
      <c r="C120" s="3">
        <v>0.0180555555555556</v>
      </c>
      <c r="D120" t="s">
        <v>103</v>
      </c>
      <c r="E120">
        <v>99.29</v>
      </c>
      <c r="F120" t="s">
        <v>28</v>
      </c>
      <c r="G120" t="s">
        <v>48</v>
      </c>
      <c r="H120" t="s">
        <v>5</v>
      </c>
      <c r="I120" t="s">
        <v>15</v>
      </c>
      <c r="J120" t="s">
        <v>22</v>
      </c>
      <c r="K120">
        <v>26</v>
      </c>
      <c r="L120" t="s">
        <v>49</v>
      </c>
      <c r="M120">
        <v>0</v>
      </c>
      <c r="N120">
        <f t="shared" si="7"/>
        <v>1</v>
      </c>
      <c r="P120" s="4">
        <f t="shared" si="4"/>
        <v>0</v>
      </c>
      <c r="Q120" s="4" t="str">
        <f t="shared" si="5"/>
        <v>Late Night</v>
      </c>
      <c r="R120" s="4" t="str">
        <f t="shared" si="6"/>
        <v>Low</v>
      </c>
    </row>
    <row r="121" spans="1:18">
      <c r="A121" t="s">
        <v>268</v>
      </c>
      <c r="B121" s="2">
        <v>46044</v>
      </c>
      <c r="C121" s="3">
        <v>0.649305555555556</v>
      </c>
      <c r="D121" t="s">
        <v>269</v>
      </c>
      <c r="E121">
        <v>76.86</v>
      </c>
      <c r="F121" t="s">
        <v>30</v>
      </c>
      <c r="G121" t="s">
        <v>48</v>
      </c>
      <c r="H121" t="s">
        <v>4</v>
      </c>
      <c r="I121" t="s">
        <v>15</v>
      </c>
      <c r="J121" t="s">
        <v>22</v>
      </c>
      <c r="K121">
        <v>32</v>
      </c>
      <c r="L121" t="s">
        <v>49</v>
      </c>
      <c r="M121">
        <v>0</v>
      </c>
      <c r="N121">
        <f t="shared" si="7"/>
        <v>1</v>
      </c>
      <c r="P121" s="4">
        <f t="shared" si="4"/>
        <v>15</v>
      </c>
      <c r="Q121" s="4" t="str">
        <f t="shared" si="5"/>
        <v>Late Night</v>
      </c>
      <c r="R121" s="4" t="str">
        <f t="shared" si="6"/>
        <v>Low</v>
      </c>
    </row>
    <row r="122" spans="1:18">
      <c r="A122" t="s">
        <v>270</v>
      </c>
      <c r="B122" s="2">
        <v>46044</v>
      </c>
      <c r="C122" s="3">
        <v>0.936111111111111</v>
      </c>
      <c r="D122" t="s">
        <v>214</v>
      </c>
      <c r="E122">
        <v>209.31</v>
      </c>
      <c r="F122" t="s">
        <v>29</v>
      </c>
      <c r="G122" t="s">
        <v>54</v>
      </c>
      <c r="H122" t="s">
        <v>9</v>
      </c>
      <c r="I122" t="s">
        <v>15</v>
      </c>
      <c r="J122" t="s">
        <v>18</v>
      </c>
      <c r="K122">
        <v>45</v>
      </c>
      <c r="L122" t="s">
        <v>159</v>
      </c>
      <c r="M122">
        <v>0</v>
      </c>
      <c r="N122">
        <f t="shared" si="7"/>
        <v>1</v>
      </c>
      <c r="P122" s="4">
        <f t="shared" si="4"/>
        <v>22</v>
      </c>
      <c r="Q122" s="4" t="str">
        <f t="shared" si="5"/>
        <v>Late Night</v>
      </c>
      <c r="R122" s="4" t="str">
        <f t="shared" si="6"/>
        <v>Low</v>
      </c>
    </row>
    <row r="123" spans="1:18">
      <c r="A123" t="s">
        <v>271</v>
      </c>
      <c r="B123" s="2">
        <v>46044</v>
      </c>
      <c r="C123" s="3">
        <v>0.942361111111111</v>
      </c>
      <c r="D123" t="s">
        <v>255</v>
      </c>
      <c r="E123">
        <v>31.8</v>
      </c>
      <c r="F123" t="s">
        <v>29</v>
      </c>
      <c r="G123" t="s">
        <v>71</v>
      </c>
      <c r="H123" t="s">
        <v>10</v>
      </c>
      <c r="I123" t="s">
        <v>15</v>
      </c>
      <c r="J123" t="s">
        <v>19</v>
      </c>
      <c r="K123">
        <v>41</v>
      </c>
      <c r="L123" t="s">
        <v>49</v>
      </c>
      <c r="M123">
        <v>0</v>
      </c>
      <c r="N123">
        <f t="shared" si="7"/>
        <v>1</v>
      </c>
      <c r="P123" s="4">
        <f t="shared" si="4"/>
        <v>22</v>
      </c>
      <c r="Q123" s="4" t="str">
        <f t="shared" si="5"/>
        <v>Late Night</v>
      </c>
      <c r="R123" s="4" t="str">
        <f t="shared" si="6"/>
        <v>Low</v>
      </c>
    </row>
    <row r="124" spans="1:18">
      <c r="A124" t="s">
        <v>272</v>
      </c>
      <c r="B124" s="2">
        <v>46044</v>
      </c>
      <c r="C124" s="3">
        <v>0.997222222222222</v>
      </c>
      <c r="D124" t="s">
        <v>178</v>
      </c>
      <c r="E124">
        <v>113.59</v>
      </c>
      <c r="F124" t="s">
        <v>28</v>
      </c>
      <c r="G124" t="s">
        <v>59</v>
      </c>
      <c r="H124" t="s">
        <v>3</v>
      </c>
      <c r="I124" t="s">
        <v>15</v>
      </c>
      <c r="J124" t="s">
        <v>24</v>
      </c>
      <c r="K124">
        <v>52</v>
      </c>
      <c r="L124" t="s">
        <v>49</v>
      </c>
      <c r="M124">
        <v>0</v>
      </c>
      <c r="N124">
        <f t="shared" si="7"/>
        <v>1</v>
      </c>
      <c r="P124" s="4">
        <f t="shared" si="4"/>
        <v>23</v>
      </c>
      <c r="Q124" s="4" t="str">
        <f t="shared" si="5"/>
        <v>Late Night</v>
      </c>
      <c r="R124" s="4" t="str">
        <f t="shared" si="6"/>
        <v>Low</v>
      </c>
    </row>
    <row r="125" spans="1:18">
      <c r="A125" t="s">
        <v>273</v>
      </c>
      <c r="B125" s="2">
        <v>46045</v>
      </c>
      <c r="C125" s="3">
        <v>0.188888888888889</v>
      </c>
      <c r="D125" t="s">
        <v>84</v>
      </c>
      <c r="E125">
        <v>130.34</v>
      </c>
      <c r="F125" t="s">
        <v>31</v>
      </c>
      <c r="G125" t="s">
        <v>59</v>
      </c>
      <c r="H125" t="s">
        <v>3</v>
      </c>
      <c r="I125" t="s">
        <v>16</v>
      </c>
      <c r="J125" t="s">
        <v>22</v>
      </c>
      <c r="K125">
        <v>39</v>
      </c>
      <c r="L125" t="s">
        <v>85</v>
      </c>
      <c r="M125">
        <v>1</v>
      </c>
      <c r="N125">
        <f t="shared" si="7"/>
        <v>1</v>
      </c>
      <c r="P125" s="4">
        <f t="shared" si="4"/>
        <v>4</v>
      </c>
      <c r="Q125" s="4" t="str">
        <f t="shared" si="5"/>
        <v>Late Night</v>
      </c>
      <c r="R125" s="4" t="str">
        <f t="shared" si="6"/>
        <v>Low</v>
      </c>
    </row>
    <row r="126" spans="1:18">
      <c r="A126" t="s">
        <v>274</v>
      </c>
      <c r="B126" s="2">
        <v>46045</v>
      </c>
      <c r="C126" s="3">
        <v>0.108333333333333</v>
      </c>
      <c r="D126" t="s">
        <v>97</v>
      </c>
      <c r="E126">
        <v>225.99</v>
      </c>
      <c r="F126" t="s">
        <v>31</v>
      </c>
      <c r="G126" t="s">
        <v>54</v>
      </c>
      <c r="H126" t="s">
        <v>9</v>
      </c>
      <c r="I126" t="s">
        <v>15</v>
      </c>
      <c r="J126" t="s">
        <v>19</v>
      </c>
      <c r="K126">
        <v>44</v>
      </c>
      <c r="L126" t="s">
        <v>49</v>
      </c>
      <c r="M126">
        <v>0</v>
      </c>
      <c r="N126">
        <f t="shared" si="7"/>
        <v>1</v>
      </c>
      <c r="P126" s="4">
        <f t="shared" si="4"/>
        <v>2</v>
      </c>
      <c r="Q126" s="4" t="str">
        <f t="shared" si="5"/>
        <v>Late Night</v>
      </c>
      <c r="R126" s="4" t="str">
        <f t="shared" si="6"/>
        <v>Low</v>
      </c>
    </row>
    <row r="127" spans="1:18">
      <c r="A127" t="s">
        <v>275</v>
      </c>
      <c r="B127" s="2">
        <v>46045</v>
      </c>
      <c r="C127" s="3">
        <v>0.476388888888889</v>
      </c>
      <c r="D127" t="s">
        <v>61</v>
      </c>
      <c r="E127">
        <v>66.94</v>
      </c>
      <c r="F127" t="s">
        <v>32</v>
      </c>
      <c r="G127" t="s">
        <v>59</v>
      </c>
      <c r="H127" t="s">
        <v>6</v>
      </c>
      <c r="I127" t="s">
        <v>15</v>
      </c>
      <c r="J127" t="s">
        <v>22</v>
      </c>
      <c r="K127">
        <v>36</v>
      </c>
      <c r="L127" t="s">
        <v>49</v>
      </c>
      <c r="M127">
        <v>0</v>
      </c>
      <c r="N127">
        <f t="shared" si="7"/>
        <v>1</v>
      </c>
      <c r="P127" s="4">
        <f t="shared" si="4"/>
        <v>11</v>
      </c>
      <c r="Q127" s="4" t="str">
        <f t="shared" si="5"/>
        <v>Late Night</v>
      </c>
      <c r="R127" s="4" t="str">
        <f t="shared" si="6"/>
        <v>Low</v>
      </c>
    </row>
    <row r="128" spans="1:18">
      <c r="A128" t="s">
        <v>276</v>
      </c>
      <c r="B128" s="2">
        <v>46045</v>
      </c>
      <c r="C128" s="3">
        <v>0.329166666666667</v>
      </c>
      <c r="D128" t="s">
        <v>277</v>
      </c>
      <c r="E128">
        <v>75.23</v>
      </c>
      <c r="F128" t="s">
        <v>31</v>
      </c>
      <c r="G128" t="s">
        <v>48</v>
      </c>
      <c r="H128" t="s">
        <v>6</v>
      </c>
      <c r="I128" t="s">
        <v>15</v>
      </c>
      <c r="J128" t="s">
        <v>18</v>
      </c>
      <c r="K128">
        <v>62</v>
      </c>
      <c r="L128" t="s">
        <v>49</v>
      </c>
      <c r="M128">
        <v>0</v>
      </c>
      <c r="N128">
        <f t="shared" si="7"/>
        <v>1</v>
      </c>
      <c r="P128" s="4">
        <f t="shared" si="4"/>
        <v>7</v>
      </c>
      <c r="Q128" s="4" t="str">
        <f t="shared" si="5"/>
        <v>Late Night</v>
      </c>
      <c r="R128" s="4" t="str">
        <f t="shared" si="6"/>
        <v>Low</v>
      </c>
    </row>
    <row r="129" spans="1:18">
      <c r="A129" t="s">
        <v>278</v>
      </c>
      <c r="B129" s="2">
        <v>46045</v>
      </c>
      <c r="C129" s="3">
        <v>0.897222222222222</v>
      </c>
      <c r="D129" t="s">
        <v>176</v>
      </c>
      <c r="E129">
        <v>576.46</v>
      </c>
      <c r="F129" t="s">
        <v>30</v>
      </c>
      <c r="G129" t="s">
        <v>59</v>
      </c>
      <c r="H129" t="s">
        <v>4</v>
      </c>
      <c r="I129" t="s">
        <v>15</v>
      </c>
      <c r="J129" t="s">
        <v>24</v>
      </c>
      <c r="K129">
        <v>29</v>
      </c>
      <c r="L129" t="s">
        <v>49</v>
      </c>
      <c r="M129">
        <v>0</v>
      </c>
      <c r="N129">
        <f t="shared" si="7"/>
        <v>1</v>
      </c>
      <c r="P129" s="4">
        <f t="shared" si="4"/>
        <v>21</v>
      </c>
      <c r="Q129" s="4" t="str">
        <f t="shared" si="5"/>
        <v>Late Night</v>
      </c>
      <c r="R129" s="4" t="str">
        <f t="shared" si="6"/>
        <v>Low</v>
      </c>
    </row>
    <row r="130" spans="1:18">
      <c r="A130" t="s">
        <v>279</v>
      </c>
      <c r="B130" s="2">
        <v>46046</v>
      </c>
      <c r="C130" s="3">
        <v>0.0854166666666667</v>
      </c>
      <c r="D130" t="s">
        <v>105</v>
      </c>
      <c r="E130">
        <v>178.85</v>
      </c>
      <c r="F130" t="s">
        <v>28</v>
      </c>
      <c r="G130" t="s">
        <v>71</v>
      </c>
      <c r="H130" t="s">
        <v>8</v>
      </c>
      <c r="I130" t="s">
        <v>15</v>
      </c>
      <c r="J130" t="s">
        <v>24</v>
      </c>
      <c r="K130">
        <v>37</v>
      </c>
      <c r="L130" t="s">
        <v>49</v>
      </c>
      <c r="M130">
        <v>0</v>
      </c>
      <c r="N130">
        <f t="shared" si="7"/>
        <v>1</v>
      </c>
      <c r="P130" s="4">
        <f t="shared" ref="P130:P193" si="8">HOUR(C130)</f>
        <v>2</v>
      </c>
      <c r="Q130" s="4" t="str">
        <f t="shared" ref="Q130:Q193" si="9">IF(N130&lt;6,"Late Night",IF(N130&lt;12,"Morning",IF(N130&lt;18,"Afternoon","Evening")))</f>
        <v>Late Night</v>
      </c>
      <c r="R130" s="4" t="str">
        <f t="shared" ref="R130:R193" si="10">IF(E130&lt;1000,"Low",IF(E130&lt;5000,"Medium",IF(E130&lt;15000,"High","Very High")))</f>
        <v>Low</v>
      </c>
    </row>
    <row r="131" spans="1:18">
      <c r="A131" t="s">
        <v>280</v>
      </c>
      <c r="B131" s="2">
        <v>46046</v>
      </c>
      <c r="C131" s="3">
        <v>0.0145833333333333</v>
      </c>
      <c r="D131" t="s">
        <v>210</v>
      </c>
      <c r="E131">
        <v>430.37</v>
      </c>
      <c r="F131" t="s">
        <v>28</v>
      </c>
      <c r="G131" t="s">
        <v>59</v>
      </c>
      <c r="H131" t="s">
        <v>5</v>
      </c>
      <c r="I131" t="s">
        <v>15</v>
      </c>
      <c r="J131" t="s">
        <v>19</v>
      </c>
      <c r="K131">
        <v>18</v>
      </c>
      <c r="L131" t="s">
        <v>168</v>
      </c>
      <c r="M131">
        <v>1</v>
      </c>
      <c r="N131">
        <f t="shared" ref="N131:N194" si="11">COUNTIF($A$2:$A$1001,A131)</f>
        <v>1</v>
      </c>
      <c r="P131" s="4">
        <f t="shared" si="8"/>
        <v>0</v>
      </c>
      <c r="Q131" s="4" t="str">
        <f t="shared" si="9"/>
        <v>Late Night</v>
      </c>
      <c r="R131" s="4" t="str">
        <f t="shared" si="10"/>
        <v>Low</v>
      </c>
    </row>
    <row r="132" spans="1:18">
      <c r="A132" t="s">
        <v>281</v>
      </c>
      <c r="B132" s="2">
        <v>46046</v>
      </c>
      <c r="C132" s="3">
        <v>0.0840277777777778</v>
      </c>
      <c r="D132" t="s">
        <v>282</v>
      </c>
      <c r="E132">
        <v>105.45</v>
      </c>
      <c r="F132" t="s">
        <v>29</v>
      </c>
      <c r="G132" t="s">
        <v>66</v>
      </c>
      <c r="H132" t="s">
        <v>3</v>
      </c>
      <c r="I132" t="s">
        <v>16</v>
      </c>
      <c r="J132" t="s">
        <v>18</v>
      </c>
      <c r="K132">
        <v>38</v>
      </c>
      <c r="L132" t="s">
        <v>168</v>
      </c>
      <c r="M132">
        <v>1</v>
      </c>
      <c r="N132">
        <f t="shared" si="11"/>
        <v>1</v>
      </c>
      <c r="P132" s="4">
        <f t="shared" si="8"/>
        <v>2</v>
      </c>
      <c r="Q132" s="4" t="str">
        <f t="shared" si="9"/>
        <v>Late Night</v>
      </c>
      <c r="R132" s="4" t="str">
        <f t="shared" si="10"/>
        <v>Low</v>
      </c>
    </row>
    <row r="133" spans="1:18">
      <c r="A133" t="s">
        <v>283</v>
      </c>
      <c r="B133" s="2">
        <v>46046</v>
      </c>
      <c r="C133" s="3">
        <v>0.172916666666667</v>
      </c>
      <c r="D133" t="s">
        <v>284</v>
      </c>
      <c r="E133">
        <v>171.67</v>
      </c>
      <c r="F133" t="s">
        <v>28</v>
      </c>
      <c r="G133" t="s">
        <v>59</v>
      </c>
      <c r="H133" t="s">
        <v>8</v>
      </c>
      <c r="I133" t="s">
        <v>15</v>
      </c>
      <c r="J133" t="s">
        <v>19</v>
      </c>
      <c r="K133">
        <v>62</v>
      </c>
      <c r="L133" t="s">
        <v>85</v>
      </c>
      <c r="M133">
        <v>1</v>
      </c>
      <c r="N133">
        <f t="shared" si="11"/>
        <v>1</v>
      </c>
      <c r="P133" s="4">
        <f t="shared" si="8"/>
        <v>4</v>
      </c>
      <c r="Q133" s="4" t="str">
        <f t="shared" si="9"/>
        <v>Late Night</v>
      </c>
      <c r="R133" s="4" t="str">
        <f t="shared" si="10"/>
        <v>Low</v>
      </c>
    </row>
    <row r="134" spans="1:18">
      <c r="A134" t="s">
        <v>285</v>
      </c>
      <c r="B134" s="2">
        <v>46046</v>
      </c>
      <c r="C134" s="3">
        <v>0.586111111111111</v>
      </c>
      <c r="D134" t="s">
        <v>286</v>
      </c>
      <c r="E134">
        <v>224.65</v>
      </c>
      <c r="F134" t="s">
        <v>30</v>
      </c>
      <c r="G134" t="s">
        <v>48</v>
      </c>
      <c r="H134" t="s">
        <v>8</v>
      </c>
      <c r="I134" t="s">
        <v>15</v>
      </c>
      <c r="J134" t="s">
        <v>24</v>
      </c>
      <c r="K134">
        <v>18</v>
      </c>
      <c r="L134" t="s">
        <v>49</v>
      </c>
      <c r="M134">
        <v>0</v>
      </c>
      <c r="N134">
        <f t="shared" si="11"/>
        <v>1</v>
      </c>
      <c r="P134" s="4">
        <f t="shared" si="8"/>
        <v>14</v>
      </c>
      <c r="Q134" s="4" t="str">
        <f t="shared" si="9"/>
        <v>Late Night</v>
      </c>
      <c r="R134" s="4" t="str">
        <f t="shared" si="10"/>
        <v>Low</v>
      </c>
    </row>
    <row r="135" spans="1:18">
      <c r="A135" t="s">
        <v>287</v>
      </c>
      <c r="B135" s="2">
        <v>46046</v>
      </c>
      <c r="C135" s="3">
        <v>0.581944444444444</v>
      </c>
      <c r="D135" t="s">
        <v>180</v>
      </c>
      <c r="E135">
        <v>1040.6</v>
      </c>
      <c r="F135" t="s">
        <v>30</v>
      </c>
      <c r="G135" t="s">
        <v>71</v>
      </c>
      <c r="H135" t="s">
        <v>5</v>
      </c>
      <c r="I135" t="s">
        <v>15</v>
      </c>
      <c r="J135" t="s">
        <v>24</v>
      </c>
      <c r="K135">
        <v>27</v>
      </c>
      <c r="L135" t="s">
        <v>49</v>
      </c>
      <c r="M135">
        <v>0</v>
      </c>
      <c r="N135">
        <f t="shared" si="11"/>
        <v>1</v>
      </c>
      <c r="P135" s="4">
        <f t="shared" si="8"/>
        <v>13</v>
      </c>
      <c r="Q135" s="4" t="str">
        <f t="shared" si="9"/>
        <v>Late Night</v>
      </c>
      <c r="R135" s="4" t="str">
        <f t="shared" si="10"/>
        <v>Medium</v>
      </c>
    </row>
    <row r="136" spans="1:18">
      <c r="A136" t="s">
        <v>288</v>
      </c>
      <c r="B136" s="2">
        <v>46047</v>
      </c>
      <c r="C136" s="3">
        <v>0.0895833333333333</v>
      </c>
      <c r="D136" t="s">
        <v>143</v>
      </c>
      <c r="E136">
        <v>145.82</v>
      </c>
      <c r="F136" t="s">
        <v>28</v>
      </c>
      <c r="G136" t="s">
        <v>48</v>
      </c>
      <c r="H136" t="s">
        <v>8</v>
      </c>
      <c r="I136" t="s">
        <v>15</v>
      </c>
      <c r="J136" t="s">
        <v>23</v>
      </c>
      <c r="K136">
        <v>64</v>
      </c>
      <c r="L136" t="s">
        <v>49</v>
      </c>
      <c r="M136">
        <v>0</v>
      </c>
      <c r="N136">
        <f t="shared" si="11"/>
        <v>1</v>
      </c>
      <c r="P136" s="4">
        <f t="shared" si="8"/>
        <v>2</v>
      </c>
      <c r="Q136" s="4" t="str">
        <f t="shared" si="9"/>
        <v>Late Night</v>
      </c>
      <c r="R136" s="4" t="str">
        <f t="shared" si="10"/>
        <v>Low</v>
      </c>
    </row>
    <row r="137" spans="1:18">
      <c r="A137" t="s">
        <v>289</v>
      </c>
      <c r="B137" s="2">
        <v>46047</v>
      </c>
      <c r="C137" s="3">
        <v>0.0222222222222222</v>
      </c>
      <c r="D137" t="s">
        <v>286</v>
      </c>
      <c r="E137">
        <v>153.5</v>
      </c>
      <c r="F137" t="s">
        <v>31</v>
      </c>
      <c r="G137" t="s">
        <v>59</v>
      </c>
      <c r="H137" t="s">
        <v>8</v>
      </c>
      <c r="I137" t="s">
        <v>15</v>
      </c>
      <c r="J137" t="s">
        <v>19</v>
      </c>
      <c r="K137">
        <v>49</v>
      </c>
      <c r="L137" t="s">
        <v>168</v>
      </c>
      <c r="M137">
        <v>1</v>
      </c>
      <c r="N137">
        <f t="shared" si="11"/>
        <v>1</v>
      </c>
      <c r="P137" s="4">
        <f t="shared" si="8"/>
        <v>0</v>
      </c>
      <c r="Q137" s="4" t="str">
        <f t="shared" si="9"/>
        <v>Late Night</v>
      </c>
      <c r="R137" s="4" t="str">
        <f t="shared" si="10"/>
        <v>Low</v>
      </c>
    </row>
    <row r="138" spans="1:18">
      <c r="A138" t="s">
        <v>290</v>
      </c>
      <c r="B138" s="2">
        <v>46047</v>
      </c>
      <c r="C138" s="3">
        <v>0.203472222222222</v>
      </c>
      <c r="D138" t="s">
        <v>84</v>
      </c>
      <c r="E138">
        <v>543.57</v>
      </c>
      <c r="F138" t="s">
        <v>29</v>
      </c>
      <c r="G138" t="s">
        <v>48</v>
      </c>
      <c r="H138" t="s">
        <v>6</v>
      </c>
      <c r="I138" t="s">
        <v>14</v>
      </c>
      <c r="J138" t="s">
        <v>23</v>
      </c>
      <c r="K138">
        <v>56</v>
      </c>
      <c r="L138" t="s">
        <v>85</v>
      </c>
      <c r="M138">
        <v>1</v>
      </c>
      <c r="N138">
        <f t="shared" si="11"/>
        <v>1</v>
      </c>
      <c r="P138" s="4">
        <f t="shared" si="8"/>
        <v>4</v>
      </c>
      <c r="Q138" s="4" t="str">
        <f t="shared" si="9"/>
        <v>Late Night</v>
      </c>
      <c r="R138" s="4" t="str">
        <f t="shared" si="10"/>
        <v>Low</v>
      </c>
    </row>
    <row r="139" spans="1:18">
      <c r="A139" t="s">
        <v>291</v>
      </c>
      <c r="B139" s="2">
        <v>46047</v>
      </c>
      <c r="C139" s="3">
        <v>0.942361111111111</v>
      </c>
      <c r="D139" t="s">
        <v>292</v>
      </c>
      <c r="E139">
        <v>123.99</v>
      </c>
      <c r="F139" t="s">
        <v>30</v>
      </c>
      <c r="G139" t="s">
        <v>48</v>
      </c>
      <c r="H139" t="s">
        <v>6</v>
      </c>
      <c r="I139" t="s">
        <v>14</v>
      </c>
      <c r="J139" t="s">
        <v>18</v>
      </c>
      <c r="K139">
        <v>39</v>
      </c>
      <c r="L139" t="s">
        <v>49</v>
      </c>
      <c r="M139">
        <v>0</v>
      </c>
      <c r="N139">
        <f t="shared" si="11"/>
        <v>1</v>
      </c>
      <c r="P139" s="4">
        <f t="shared" si="8"/>
        <v>22</v>
      </c>
      <c r="Q139" s="4" t="str">
        <f t="shared" si="9"/>
        <v>Late Night</v>
      </c>
      <c r="R139" s="4" t="str">
        <f t="shared" si="10"/>
        <v>Low</v>
      </c>
    </row>
    <row r="140" spans="1:18">
      <c r="A140" t="s">
        <v>293</v>
      </c>
      <c r="B140" s="2">
        <v>46047</v>
      </c>
      <c r="C140" s="3">
        <v>0.55</v>
      </c>
      <c r="D140" t="s">
        <v>294</v>
      </c>
      <c r="E140">
        <v>240.96</v>
      </c>
      <c r="F140" t="s">
        <v>31</v>
      </c>
      <c r="G140" t="s">
        <v>54</v>
      </c>
      <c r="H140" t="s">
        <v>7</v>
      </c>
      <c r="I140" t="s">
        <v>15</v>
      </c>
      <c r="J140" t="s">
        <v>21</v>
      </c>
      <c r="K140">
        <v>35</v>
      </c>
      <c r="L140" t="s">
        <v>49</v>
      </c>
      <c r="M140">
        <v>0</v>
      </c>
      <c r="N140">
        <f t="shared" si="11"/>
        <v>1</v>
      </c>
      <c r="P140" s="4">
        <f t="shared" si="8"/>
        <v>13</v>
      </c>
      <c r="Q140" s="4" t="str">
        <f t="shared" si="9"/>
        <v>Late Night</v>
      </c>
      <c r="R140" s="4" t="str">
        <f t="shared" si="10"/>
        <v>Low</v>
      </c>
    </row>
    <row r="141" spans="1:18">
      <c r="A141" t="s">
        <v>295</v>
      </c>
      <c r="B141" s="2">
        <v>46048</v>
      </c>
      <c r="C141" s="3">
        <v>0.270833333333333</v>
      </c>
      <c r="D141" t="s">
        <v>296</v>
      </c>
      <c r="E141">
        <v>498.18</v>
      </c>
      <c r="F141" t="s">
        <v>29</v>
      </c>
      <c r="G141" t="s">
        <v>48</v>
      </c>
      <c r="H141" t="s">
        <v>10</v>
      </c>
      <c r="I141" t="s">
        <v>15</v>
      </c>
      <c r="J141" t="s">
        <v>22</v>
      </c>
      <c r="K141">
        <v>65</v>
      </c>
      <c r="L141" t="s">
        <v>49</v>
      </c>
      <c r="M141">
        <v>0</v>
      </c>
      <c r="N141">
        <f t="shared" si="11"/>
        <v>1</v>
      </c>
      <c r="P141" s="4">
        <f t="shared" si="8"/>
        <v>6</v>
      </c>
      <c r="Q141" s="4" t="str">
        <f t="shared" si="9"/>
        <v>Late Night</v>
      </c>
      <c r="R141" s="4" t="str">
        <f t="shared" si="10"/>
        <v>Low</v>
      </c>
    </row>
    <row r="142" spans="1:18">
      <c r="A142" t="s">
        <v>297</v>
      </c>
      <c r="B142" s="2">
        <v>46048</v>
      </c>
      <c r="C142" s="3">
        <v>0.365277777777778</v>
      </c>
      <c r="D142" t="s">
        <v>230</v>
      </c>
      <c r="E142">
        <v>101.92</v>
      </c>
      <c r="F142" t="s">
        <v>29</v>
      </c>
      <c r="G142" t="s">
        <v>54</v>
      </c>
      <c r="H142" t="s">
        <v>4</v>
      </c>
      <c r="I142" t="s">
        <v>15</v>
      </c>
      <c r="J142" t="s">
        <v>23</v>
      </c>
      <c r="K142">
        <v>63</v>
      </c>
      <c r="L142" t="s">
        <v>49</v>
      </c>
      <c r="M142">
        <v>0</v>
      </c>
      <c r="N142">
        <f t="shared" si="11"/>
        <v>1</v>
      </c>
      <c r="P142" s="4">
        <f t="shared" si="8"/>
        <v>8</v>
      </c>
      <c r="Q142" s="4" t="str">
        <f t="shared" si="9"/>
        <v>Late Night</v>
      </c>
      <c r="R142" s="4" t="str">
        <f t="shared" si="10"/>
        <v>Low</v>
      </c>
    </row>
    <row r="143" spans="1:18">
      <c r="A143" t="s">
        <v>298</v>
      </c>
      <c r="B143" s="2">
        <v>46048</v>
      </c>
      <c r="C143" s="3">
        <v>0.607638888888889</v>
      </c>
      <c r="D143" t="s">
        <v>172</v>
      </c>
      <c r="E143">
        <v>254.8</v>
      </c>
      <c r="F143" t="s">
        <v>29</v>
      </c>
      <c r="G143" t="s">
        <v>59</v>
      </c>
      <c r="H143" t="s">
        <v>8</v>
      </c>
      <c r="I143" t="s">
        <v>15</v>
      </c>
      <c r="J143" t="s">
        <v>22</v>
      </c>
      <c r="K143">
        <v>49</v>
      </c>
      <c r="L143" t="s">
        <v>49</v>
      </c>
      <c r="M143">
        <v>0</v>
      </c>
      <c r="N143">
        <f t="shared" si="11"/>
        <v>1</v>
      </c>
      <c r="P143" s="4">
        <f t="shared" si="8"/>
        <v>14</v>
      </c>
      <c r="Q143" s="4" t="str">
        <f t="shared" si="9"/>
        <v>Late Night</v>
      </c>
      <c r="R143" s="4" t="str">
        <f t="shared" si="10"/>
        <v>Low</v>
      </c>
    </row>
    <row r="144" spans="1:18">
      <c r="A144" t="s">
        <v>299</v>
      </c>
      <c r="B144" s="2">
        <v>46048</v>
      </c>
      <c r="C144" s="3">
        <v>0.613888888888889</v>
      </c>
      <c r="D144" t="s">
        <v>300</v>
      </c>
      <c r="E144">
        <v>1038.52</v>
      </c>
      <c r="F144" t="s">
        <v>31</v>
      </c>
      <c r="G144" t="s">
        <v>48</v>
      </c>
      <c r="H144" t="s">
        <v>7</v>
      </c>
      <c r="I144" t="s">
        <v>15</v>
      </c>
      <c r="J144" t="s">
        <v>20</v>
      </c>
      <c r="K144">
        <v>44</v>
      </c>
      <c r="L144" t="s">
        <v>49</v>
      </c>
      <c r="M144">
        <v>0</v>
      </c>
      <c r="N144">
        <f t="shared" si="11"/>
        <v>1</v>
      </c>
      <c r="P144" s="4">
        <f t="shared" si="8"/>
        <v>14</v>
      </c>
      <c r="Q144" s="4" t="str">
        <f t="shared" si="9"/>
        <v>Late Night</v>
      </c>
      <c r="R144" s="4" t="str">
        <f t="shared" si="10"/>
        <v>Medium</v>
      </c>
    </row>
    <row r="145" spans="1:18">
      <c r="A145" t="s">
        <v>301</v>
      </c>
      <c r="B145" s="2">
        <v>46048</v>
      </c>
      <c r="C145" s="3">
        <v>0.390972222222222</v>
      </c>
      <c r="D145" t="s">
        <v>253</v>
      </c>
      <c r="E145">
        <v>455.46</v>
      </c>
      <c r="F145" t="s">
        <v>29</v>
      </c>
      <c r="G145" t="s">
        <v>48</v>
      </c>
      <c r="H145" t="s">
        <v>10</v>
      </c>
      <c r="I145" t="s">
        <v>15</v>
      </c>
      <c r="J145" t="s">
        <v>18</v>
      </c>
      <c r="K145">
        <v>45</v>
      </c>
      <c r="L145" t="s">
        <v>49</v>
      </c>
      <c r="M145">
        <v>0</v>
      </c>
      <c r="N145">
        <f t="shared" si="11"/>
        <v>1</v>
      </c>
      <c r="P145" s="4">
        <f t="shared" si="8"/>
        <v>9</v>
      </c>
      <c r="Q145" s="4" t="str">
        <f t="shared" si="9"/>
        <v>Late Night</v>
      </c>
      <c r="R145" s="4" t="str">
        <f t="shared" si="10"/>
        <v>Low</v>
      </c>
    </row>
    <row r="146" spans="1:18">
      <c r="A146" t="s">
        <v>302</v>
      </c>
      <c r="B146" s="2">
        <v>46048</v>
      </c>
      <c r="C146" s="3">
        <v>0.535416666666667</v>
      </c>
      <c r="D146" t="s">
        <v>303</v>
      </c>
      <c r="E146">
        <v>241.03</v>
      </c>
      <c r="F146" t="s">
        <v>30</v>
      </c>
      <c r="G146" t="s">
        <v>59</v>
      </c>
      <c r="H146" t="s">
        <v>7</v>
      </c>
      <c r="I146" t="s">
        <v>15</v>
      </c>
      <c r="J146" t="s">
        <v>21</v>
      </c>
      <c r="K146">
        <v>35</v>
      </c>
      <c r="L146" t="s">
        <v>49</v>
      </c>
      <c r="M146">
        <v>0</v>
      </c>
      <c r="N146">
        <f t="shared" si="11"/>
        <v>1</v>
      </c>
      <c r="P146" s="4">
        <f t="shared" si="8"/>
        <v>12</v>
      </c>
      <c r="Q146" s="4" t="str">
        <f t="shared" si="9"/>
        <v>Late Night</v>
      </c>
      <c r="R146" s="4" t="str">
        <f t="shared" si="10"/>
        <v>Low</v>
      </c>
    </row>
    <row r="147" spans="1:18">
      <c r="A147" t="s">
        <v>304</v>
      </c>
      <c r="B147" s="2">
        <v>46049</v>
      </c>
      <c r="C147" s="3">
        <v>0.788194444444444</v>
      </c>
      <c r="D147" t="s">
        <v>305</v>
      </c>
      <c r="E147">
        <v>144.85</v>
      </c>
      <c r="F147" t="s">
        <v>31</v>
      </c>
      <c r="G147" t="s">
        <v>54</v>
      </c>
      <c r="H147" t="s">
        <v>7</v>
      </c>
      <c r="I147" t="s">
        <v>15</v>
      </c>
      <c r="J147" t="s">
        <v>20</v>
      </c>
      <c r="K147">
        <v>56</v>
      </c>
      <c r="L147" t="s">
        <v>49</v>
      </c>
      <c r="M147">
        <v>0</v>
      </c>
      <c r="N147">
        <f t="shared" si="11"/>
        <v>1</v>
      </c>
      <c r="P147" s="4">
        <f t="shared" si="8"/>
        <v>18</v>
      </c>
      <c r="Q147" s="4" t="str">
        <f t="shared" si="9"/>
        <v>Late Night</v>
      </c>
      <c r="R147" s="4" t="str">
        <f t="shared" si="10"/>
        <v>Low</v>
      </c>
    </row>
    <row r="148" spans="1:18">
      <c r="A148" t="s">
        <v>306</v>
      </c>
      <c r="B148" s="2">
        <v>46049</v>
      </c>
      <c r="C148" s="3">
        <v>0.259722222222222</v>
      </c>
      <c r="D148" t="s">
        <v>80</v>
      </c>
      <c r="E148">
        <v>99.06</v>
      </c>
      <c r="F148" t="s">
        <v>31</v>
      </c>
      <c r="G148" t="s">
        <v>59</v>
      </c>
      <c r="H148" t="s">
        <v>4</v>
      </c>
      <c r="I148" t="s">
        <v>15</v>
      </c>
      <c r="J148" t="s">
        <v>20</v>
      </c>
      <c r="K148">
        <v>46</v>
      </c>
      <c r="L148" t="s">
        <v>49</v>
      </c>
      <c r="M148">
        <v>0</v>
      </c>
      <c r="N148">
        <f t="shared" si="11"/>
        <v>1</v>
      </c>
      <c r="P148" s="4">
        <f t="shared" si="8"/>
        <v>6</v>
      </c>
      <c r="Q148" s="4" t="str">
        <f t="shared" si="9"/>
        <v>Late Night</v>
      </c>
      <c r="R148" s="4" t="str">
        <f t="shared" si="10"/>
        <v>Low</v>
      </c>
    </row>
    <row r="149" spans="1:18">
      <c r="A149" t="s">
        <v>307</v>
      </c>
      <c r="B149" s="2">
        <v>46049</v>
      </c>
      <c r="C149" s="3">
        <v>0.686111111111111</v>
      </c>
      <c r="D149" t="s">
        <v>308</v>
      </c>
      <c r="E149">
        <v>67.48</v>
      </c>
      <c r="F149" t="s">
        <v>32</v>
      </c>
      <c r="G149" t="s">
        <v>59</v>
      </c>
      <c r="H149" t="s">
        <v>4</v>
      </c>
      <c r="I149" t="s">
        <v>15</v>
      </c>
      <c r="J149" t="s">
        <v>24</v>
      </c>
      <c r="K149">
        <v>35</v>
      </c>
      <c r="L149" t="s">
        <v>49</v>
      </c>
      <c r="M149">
        <v>0</v>
      </c>
      <c r="N149">
        <f t="shared" si="11"/>
        <v>1</v>
      </c>
      <c r="P149" s="4">
        <f t="shared" si="8"/>
        <v>16</v>
      </c>
      <c r="Q149" s="4" t="str">
        <f t="shared" si="9"/>
        <v>Late Night</v>
      </c>
      <c r="R149" s="4" t="str">
        <f t="shared" si="10"/>
        <v>Low</v>
      </c>
    </row>
    <row r="150" spans="1:18">
      <c r="A150" t="s">
        <v>309</v>
      </c>
      <c r="B150" s="2">
        <v>46049</v>
      </c>
      <c r="C150" s="3">
        <v>0.796527777777778</v>
      </c>
      <c r="D150" t="s">
        <v>63</v>
      </c>
      <c r="E150">
        <v>820.26</v>
      </c>
      <c r="F150" t="s">
        <v>31</v>
      </c>
      <c r="G150" t="s">
        <v>66</v>
      </c>
      <c r="H150" t="s">
        <v>9</v>
      </c>
      <c r="I150" t="s">
        <v>15</v>
      </c>
      <c r="J150" t="s">
        <v>20</v>
      </c>
      <c r="K150">
        <v>61</v>
      </c>
      <c r="L150" t="s">
        <v>49</v>
      </c>
      <c r="M150">
        <v>0</v>
      </c>
      <c r="N150">
        <f t="shared" si="11"/>
        <v>1</v>
      </c>
      <c r="P150" s="4">
        <f t="shared" si="8"/>
        <v>19</v>
      </c>
      <c r="Q150" s="4" t="str">
        <f t="shared" si="9"/>
        <v>Late Night</v>
      </c>
      <c r="R150" s="4" t="str">
        <f t="shared" si="10"/>
        <v>Low</v>
      </c>
    </row>
    <row r="151" spans="1:18">
      <c r="A151" t="s">
        <v>310</v>
      </c>
      <c r="B151" s="2">
        <v>46049</v>
      </c>
      <c r="C151" s="3">
        <v>0.127777777777778</v>
      </c>
      <c r="D151" t="s">
        <v>197</v>
      </c>
      <c r="E151">
        <v>675.51</v>
      </c>
      <c r="F151" t="s">
        <v>30</v>
      </c>
      <c r="G151" t="s">
        <v>59</v>
      </c>
      <c r="H151" t="s">
        <v>5</v>
      </c>
      <c r="I151" t="s">
        <v>15</v>
      </c>
      <c r="J151" t="s">
        <v>18</v>
      </c>
      <c r="K151">
        <v>25</v>
      </c>
      <c r="L151" t="s">
        <v>49</v>
      </c>
      <c r="M151">
        <v>1</v>
      </c>
      <c r="N151">
        <f t="shared" si="11"/>
        <v>1</v>
      </c>
      <c r="P151" s="4">
        <f t="shared" si="8"/>
        <v>3</v>
      </c>
      <c r="Q151" s="4" t="str">
        <f t="shared" si="9"/>
        <v>Late Night</v>
      </c>
      <c r="R151" s="4" t="str">
        <f t="shared" si="10"/>
        <v>Low</v>
      </c>
    </row>
    <row r="152" spans="1:18">
      <c r="A152" t="s">
        <v>311</v>
      </c>
      <c r="B152" s="2">
        <v>46050</v>
      </c>
      <c r="C152" s="3">
        <v>0.186111111111111</v>
      </c>
      <c r="D152" t="s">
        <v>312</v>
      </c>
      <c r="E152">
        <v>93.96</v>
      </c>
      <c r="F152" t="s">
        <v>28</v>
      </c>
      <c r="G152" t="s">
        <v>54</v>
      </c>
      <c r="H152" t="s">
        <v>5</v>
      </c>
      <c r="I152" t="s">
        <v>14</v>
      </c>
      <c r="J152" t="s">
        <v>23</v>
      </c>
      <c r="K152">
        <v>48</v>
      </c>
      <c r="L152" t="s">
        <v>85</v>
      </c>
      <c r="M152">
        <v>1</v>
      </c>
      <c r="N152">
        <f t="shared" si="11"/>
        <v>1</v>
      </c>
      <c r="P152" s="4">
        <f t="shared" si="8"/>
        <v>4</v>
      </c>
      <c r="Q152" s="4" t="str">
        <f t="shared" si="9"/>
        <v>Late Night</v>
      </c>
      <c r="R152" s="4" t="str">
        <f t="shared" si="10"/>
        <v>Low</v>
      </c>
    </row>
    <row r="153" spans="1:18">
      <c r="A153" t="s">
        <v>313</v>
      </c>
      <c r="B153" s="2">
        <v>46050</v>
      </c>
      <c r="C153" s="3">
        <v>0.948611111111111</v>
      </c>
      <c r="D153" t="s">
        <v>314</v>
      </c>
      <c r="E153">
        <v>254.09</v>
      </c>
      <c r="F153" t="s">
        <v>31</v>
      </c>
      <c r="G153" t="s">
        <v>59</v>
      </c>
      <c r="H153" t="s">
        <v>9</v>
      </c>
      <c r="I153" t="s">
        <v>15</v>
      </c>
      <c r="J153" t="s">
        <v>18</v>
      </c>
      <c r="K153">
        <v>51</v>
      </c>
      <c r="L153" t="s">
        <v>49</v>
      </c>
      <c r="M153">
        <v>0</v>
      </c>
      <c r="N153">
        <f t="shared" si="11"/>
        <v>1</v>
      </c>
      <c r="P153" s="4">
        <f t="shared" si="8"/>
        <v>22</v>
      </c>
      <c r="Q153" s="4" t="str">
        <f t="shared" si="9"/>
        <v>Late Night</v>
      </c>
      <c r="R153" s="4" t="str">
        <f t="shared" si="10"/>
        <v>Low</v>
      </c>
    </row>
    <row r="154" spans="1:18">
      <c r="A154" t="s">
        <v>315</v>
      </c>
      <c r="B154" s="2">
        <v>46050</v>
      </c>
      <c r="C154" s="3">
        <v>0.252083333333333</v>
      </c>
      <c r="D154" t="s">
        <v>316</v>
      </c>
      <c r="E154">
        <v>202.62</v>
      </c>
      <c r="F154" t="s">
        <v>30</v>
      </c>
      <c r="G154" t="s">
        <v>48</v>
      </c>
      <c r="H154" t="s">
        <v>9</v>
      </c>
      <c r="I154" t="s">
        <v>15</v>
      </c>
      <c r="J154" t="s">
        <v>23</v>
      </c>
      <c r="K154">
        <v>24</v>
      </c>
      <c r="L154" t="s">
        <v>49</v>
      </c>
      <c r="M154">
        <v>0</v>
      </c>
      <c r="N154">
        <f t="shared" si="11"/>
        <v>1</v>
      </c>
      <c r="P154" s="4">
        <f t="shared" si="8"/>
        <v>6</v>
      </c>
      <c r="Q154" s="4" t="str">
        <f t="shared" si="9"/>
        <v>Late Night</v>
      </c>
      <c r="R154" s="4" t="str">
        <f t="shared" si="10"/>
        <v>Low</v>
      </c>
    </row>
    <row r="155" spans="1:18">
      <c r="A155" t="s">
        <v>317</v>
      </c>
      <c r="B155" s="2">
        <v>46050</v>
      </c>
      <c r="C155" s="3">
        <v>0.507638888888889</v>
      </c>
      <c r="D155" t="s">
        <v>82</v>
      </c>
      <c r="E155">
        <v>592.54</v>
      </c>
      <c r="F155" t="s">
        <v>28</v>
      </c>
      <c r="G155" t="s">
        <v>48</v>
      </c>
      <c r="H155" t="s">
        <v>6</v>
      </c>
      <c r="I155" t="s">
        <v>15</v>
      </c>
      <c r="J155" t="s">
        <v>20</v>
      </c>
      <c r="K155">
        <v>53</v>
      </c>
      <c r="L155" t="s">
        <v>49</v>
      </c>
      <c r="M155">
        <v>0</v>
      </c>
      <c r="N155">
        <f t="shared" si="11"/>
        <v>1</v>
      </c>
      <c r="P155" s="4">
        <f t="shared" si="8"/>
        <v>12</v>
      </c>
      <c r="Q155" s="4" t="str">
        <f t="shared" si="9"/>
        <v>Late Night</v>
      </c>
      <c r="R155" s="4" t="str">
        <f t="shared" si="10"/>
        <v>Low</v>
      </c>
    </row>
    <row r="156" spans="1:18">
      <c r="A156" t="s">
        <v>318</v>
      </c>
      <c r="B156" s="2">
        <v>46050</v>
      </c>
      <c r="C156" s="3">
        <v>0.613888888888889</v>
      </c>
      <c r="D156" t="s">
        <v>319</v>
      </c>
      <c r="E156">
        <v>265.82</v>
      </c>
      <c r="F156" t="s">
        <v>28</v>
      </c>
      <c r="G156" t="s">
        <v>66</v>
      </c>
      <c r="H156" t="s">
        <v>10</v>
      </c>
      <c r="I156" t="s">
        <v>14</v>
      </c>
      <c r="J156" t="s">
        <v>20</v>
      </c>
      <c r="K156">
        <v>35</v>
      </c>
      <c r="L156" t="s">
        <v>49</v>
      </c>
      <c r="M156">
        <v>0</v>
      </c>
      <c r="N156">
        <f t="shared" si="11"/>
        <v>1</v>
      </c>
      <c r="P156" s="4">
        <f t="shared" si="8"/>
        <v>14</v>
      </c>
      <c r="Q156" s="4" t="str">
        <f t="shared" si="9"/>
        <v>Late Night</v>
      </c>
      <c r="R156" s="4" t="str">
        <f t="shared" si="10"/>
        <v>Low</v>
      </c>
    </row>
    <row r="157" spans="1:18">
      <c r="A157" t="s">
        <v>320</v>
      </c>
      <c r="B157" s="2">
        <v>46050</v>
      </c>
      <c r="C157" s="3">
        <v>0.417361111111111</v>
      </c>
      <c r="D157" t="s">
        <v>321</v>
      </c>
      <c r="E157">
        <v>177.18</v>
      </c>
      <c r="F157" t="s">
        <v>31</v>
      </c>
      <c r="G157" t="s">
        <v>54</v>
      </c>
      <c r="H157" t="s">
        <v>7</v>
      </c>
      <c r="I157" t="s">
        <v>15</v>
      </c>
      <c r="J157" t="s">
        <v>21</v>
      </c>
      <c r="K157">
        <v>55</v>
      </c>
      <c r="L157" t="s">
        <v>49</v>
      </c>
      <c r="M157">
        <v>0</v>
      </c>
      <c r="N157">
        <f t="shared" si="11"/>
        <v>1</v>
      </c>
      <c r="P157" s="4">
        <f t="shared" si="8"/>
        <v>10</v>
      </c>
      <c r="Q157" s="4" t="str">
        <f t="shared" si="9"/>
        <v>Late Night</v>
      </c>
      <c r="R157" s="4" t="str">
        <f t="shared" si="10"/>
        <v>Low</v>
      </c>
    </row>
    <row r="158" spans="1:18">
      <c r="A158" t="s">
        <v>322</v>
      </c>
      <c r="B158" s="2">
        <v>46051</v>
      </c>
      <c r="C158" s="3">
        <v>0.143055555555556</v>
      </c>
      <c r="D158" t="s">
        <v>190</v>
      </c>
      <c r="E158">
        <v>105.46</v>
      </c>
      <c r="F158" t="s">
        <v>29</v>
      </c>
      <c r="G158" t="s">
        <v>66</v>
      </c>
      <c r="H158" t="s">
        <v>8</v>
      </c>
      <c r="I158" t="s">
        <v>15</v>
      </c>
      <c r="J158" t="s">
        <v>23</v>
      </c>
      <c r="K158">
        <v>26</v>
      </c>
      <c r="L158" t="s">
        <v>49</v>
      </c>
      <c r="M158">
        <v>0</v>
      </c>
      <c r="N158">
        <f t="shared" si="11"/>
        <v>1</v>
      </c>
      <c r="P158" s="4">
        <f t="shared" si="8"/>
        <v>3</v>
      </c>
      <c r="Q158" s="4" t="str">
        <f t="shared" si="9"/>
        <v>Late Night</v>
      </c>
      <c r="R158" s="4" t="str">
        <f t="shared" si="10"/>
        <v>Low</v>
      </c>
    </row>
    <row r="159" spans="1:18">
      <c r="A159" t="s">
        <v>323</v>
      </c>
      <c r="B159" s="2">
        <v>46051</v>
      </c>
      <c r="C159" s="3">
        <v>0.520833333333333</v>
      </c>
      <c r="D159" t="s">
        <v>324</v>
      </c>
      <c r="E159">
        <v>254.9</v>
      </c>
      <c r="F159" t="s">
        <v>31</v>
      </c>
      <c r="G159" t="s">
        <v>66</v>
      </c>
      <c r="H159" t="s">
        <v>9</v>
      </c>
      <c r="I159" t="s">
        <v>15</v>
      </c>
      <c r="J159" t="s">
        <v>20</v>
      </c>
      <c r="K159">
        <v>26</v>
      </c>
      <c r="L159" t="s">
        <v>49</v>
      </c>
      <c r="M159">
        <v>0</v>
      </c>
      <c r="N159">
        <f t="shared" si="11"/>
        <v>1</v>
      </c>
      <c r="P159" s="4">
        <f t="shared" si="8"/>
        <v>12</v>
      </c>
      <c r="Q159" s="4" t="str">
        <f t="shared" si="9"/>
        <v>Late Night</v>
      </c>
      <c r="R159" s="4" t="str">
        <f t="shared" si="10"/>
        <v>Low</v>
      </c>
    </row>
    <row r="160" spans="1:18">
      <c r="A160" t="s">
        <v>325</v>
      </c>
      <c r="B160" s="2">
        <v>46051</v>
      </c>
      <c r="C160" s="3">
        <v>0.284722222222222</v>
      </c>
      <c r="D160" t="s">
        <v>47</v>
      </c>
      <c r="E160">
        <v>127.97</v>
      </c>
      <c r="F160" t="s">
        <v>31</v>
      </c>
      <c r="G160" t="s">
        <v>66</v>
      </c>
      <c r="H160" t="s">
        <v>3</v>
      </c>
      <c r="I160" t="s">
        <v>14</v>
      </c>
      <c r="J160" t="s">
        <v>24</v>
      </c>
      <c r="K160">
        <v>63</v>
      </c>
      <c r="L160" t="s">
        <v>49</v>
      </c>
      <c r="M160">
        <v>0</v>
      </c>
      <c r="N160">
        <f t="shared" si="11"/>
        <v>1</v>
      </c>
      <c r="P160" s="4">
        <f t="shared" si="8"/>
        <v>6</v>
      </c>
      <c r="Q160" s="4" t="str">
        <f t="shared" si="9"/>
        <v>Late Night</v>
      </c>
      <c r="R160" s="4" t="str">
        <f t="shared" si="10"/>
        <v>Low</v>
      </c>
    </row>
    <row r="161" spans="1:18">
      <c r="A161" t="s">
        <v>326</v>
      </c>
      <c r="B161" s="2">
        <v>46051</v>
      </c>
      <c r="C161" s="3">
        <v>0.784722222222222</v>
      </c>
      <c r="D161" t="s">
        <v>149</v>
      </c>
      <c r="E161">
        <v>226.03</v>
      </c>
      <c r="F161" t="s">
        <v>32</v>
      </c>
      <c r="G161" t="s">
        <v>71</v>
      </c>
      <c r="H161" t="s">
        <v>5</v>
      </c>
      <c r="I161" t="s">
        <v>16</v>
      </c>
      <c r="J161" t="s">
        <v>22</v>
      </c>
      <c r="K161">
        <v>25</v>
      </c>
      <c r="L161" t="s">
        <v>49</v>
      </c>
      <c r="M161">
        <v>0</v>
      </c>
      <c r="N161">
        <f t="shared" si="11"/>
        <v>1</v>
      </c>
      <c r="P161" s="4">
        <f t="shared" si="8"/>
        <v>18</v>
      </c>
      <c r="Q161" s="4" t="str">
        <f t="shared" si="9"/>
        <v>Late Night</v>
      </c>
      <c r="R161" s="4" t="str">
        <f t="shared" si="10"/>
        <v>Low</v>
      </c>
    </row>
    <row r="162" spans="1:18">
      <c r="A162" t="s">
        <v>327</v>
      </c>
      <c r="B162" s="2">
        <v>46051</v>
      </c>
      <c r="C162" s="3">
        <v>0.899305555555556</v>
      </c>
      <c r="D162" t="s">
        <v>328</v>
      </c>
      <c r="E162">
        <v>168.01</v>
      </c>
      <c r="F162" t="s">
        <v>31</v>
      </c>
      <c r="G162" t="s">
        <v>54</v>
      </c>
      <c r="H162" t="s">
        <v>9</v>
      </c>
      <c r="I162" t="s">
        <v>15</v>
      </c>
      <c r="J162" t="s">
        <v>21</v>
      </c>
      <c r="K162">
        <v>52</v>
      </c>
      <c r="L162" t="s">
        <v>49</v>
      </c>
      <c r="M162">
        <v>0</v>
      </c>
      <c r="N162">
        <f t="shared" si="11"/>
        <v>1</v>
      </c>
      <c r="P162" s="4">
        <f t="shared" si="8"/>
        <v>21</v>
      </c>
      <c r="Q162" s="4" t="str">
        <f t="shared" si="9"/>
        <v>Late Night</v>
      </c>
      <c r="R162" s="4" t="str">
        <f t="shared" si="10"/>
        <v>Low</v>
      </c>
    </row>
    <row r="163" spans="1:18">
      <c r="A163" t="s">
        <v>329</v>
      </c>
      <c r="B163" s="2">
        <v>46052</v>
      </c>
      <c r="C163" s="3">
        <v>0.0659722222222222</v>
      </c>
      <c r="D163" t="s">
        <v>188</v>
      </c>
      <c r="E163">
        <v>124.9</v>
      </c>
      <c r="F163" t="s">
        <v>29</v>
      </c>
      <c r="G163" t="s">
        <v>48</v>
      </c>
      <c r="H163" t="s">
        <v>3</v>
      </c>
      <c r="I163" t="s">
        <v>14</v>
      </c>
      <c r="J163" t="s">
        <v>18</v>
      </c>
      <c r="K163">
        <v>35</v>
      </c>
      <c r="L163" t="s">
        <v>85</v>
      </c>
      <c r="M163">
        <v>1</v>
      </c>
      <c r="N163">
        <f t="shared" si="11"/>
        <v>1</v>
      </c>
      <c r="P163" s="4">
        <f t="shared" si="8"/>
        <v>1</v>
      </c>
      <c r="Q163" s="4" t="str">
        <f t="shared" si="9"/>
        <v>Late Night</v>
      </c>
      <c r="R163" s="4" t="str">
        <f t="shared" si="10"/>
        <v>Low</v>
      </c>
    </row>
    <row r="164" spans="1:18">
      <c r="A164" t="s">
        <v>330</v>
      </c>
      <c r="B164" s="2">
        <v>46052</v>
      </c>
      <c r="C164" s="3">
        <v>0.392361111111111</v>
      </c>
      <c r="D164" t="s">
        <v>331</v>
      </c>
      <c r="E164">
        <v>68.53</v>
      </c>
      <c r="F164" t="s">
        <v>31</v>
      </c>
      <c r="G164" t="s">
        <v>59</v>
      </c>
      <c r="H164" t="s">
        <v>3</v>
      </c>
      <c r="I164" t="s">
        <v>16</v>
      </c>
      <c r="J164" t="s">
        <v>21</v>
      </c>
      <c r="K164">
        <v>22</v>
      </c>
      <c r="L164" t="s">
        <v>49</v>
      </c>
      <c r="M164">
        <v>0</v>
      </c>
      <c r="N164">
        <f t="shared" si="11"/>
        <v>1</v>
      </c>
      <c r="P164" s="4">
        <f t="shared" si="8"/>
        <v>9</v>
      </c>
      <c r="Q164" s="4" t="str">
        <f t="shared" si="9"/>
        <v>Late Night</v>
      </c>
      <c r="R164" s="4" t="str">
        <f t="shared" si="10"/>
        <v>Low</v>
      </c>
    </row>
    <row r="165" spans="1:18">
      <c r="A165" t="s">
        <v>332</v>
      </c>
      <c r="B165" s="2">
        <v>46052</v>
      </c>
      <c r="C165" s="3">
        <v>0.529166666666667</v>
      </c>
      <c r="D165" t="s">
        <v>237</v>
      </c>
      <c r="E165">
        <v>303.14</v>
      </c>
      <c r="F165" t="s">
        <v>29</v>
      </c>
      <c r="G165" t="s">
        <v>54</v>
      </c>
      <c r="H165" t="s">
        <v>3</v>
      </c>
      <c r="I165" t="s">
        <v>14</v>
      </c>
      <c r="J165" t="s">
        <v>22</v>
      </c>
      <c r="K165">
        <v>31</v>
      </c>
      <c r="L165" t="s">
        <v>49</v>
      </c>
      <c r="M165">
        <v>0</v>
      </c>
      <c r="N165">
        <f t="shared" si="11"/>
        <v>1</v>
      </c>
      <c r="P165" s="4">
        <f t="shared" si="8"/>
        <v>12</v>
      </c>
      <c r="Q165" s="4" t="str">
        <f t="shared" si="9"/>
        <v>Late Night</v>
      </c>
      <c r="R165" s="4" t="str">
        <f t="shared" si="10"/>
        <v>Low</v>
      </c>
    </row>
    <row r="166" spans="1:18">
      <c r="A166" t="s">
        <v>333</v>
      </c>
      <c r="B166" s="2">
        <v>46052</v>
      </c>
      <c r="C166" s="3">
        <v>0.851388888888889</v>
      </c>
      <c r="D166" t="s">
        <v>324</v>
      </c>
      <c r="E166">
        <v>189.16</v>
      </c>
      <c r="F166" t="s">
        <v>31</v>
      </c>
      <c r="G166" t="s">
        <v>59</v>
      </c>
      <c r="H166" t="s">
        <v>6</v>
      </c>
      <c r="I166" t="s">
        <v>15</v>
      </c>
      <c r="J166" t="s">
        <v>23</v>
      </c>
      <c r="K166">
        <v>45</v>
      </c>
      <c r="L166" t="s">
        <v>49</v>
      </c>
      <c r="M166">
        <v>0</v>
      </c>
      <c r="N166">
        <f t="shared" si="11"/>
        <v>1</v>
      </c>
      <c r="P166" s="4">
        <f t="shared" si="8"/>
        <v>20</v>
      </c>
      <c r="Q166" s="4" t="str">
        <f t="shared" si="9"/>
        <v>Late Night</v>
      </c>
      <c r="R166" s="4" t="str">
        <f t="shared" si="10"/>
        <v>Low</v>
      </c>
    </row>
    <row r="167" spans="1:18">
      <c r="A167" t="s">
        <v>334</v>
      </c>
      <c r="B167" s="2">
        <v>46052</v>
      </c>
      <c r="C167" s="3">
        <v>0.211111111111111</v>
      </c>
      <c r="D167" t="s">
        <v>182</v>
      </c>
      <c r="E167">
        <v>1082.92</v>
      </c>
      <c r="F167" t="s">
        <v>32</v>
      </c>
      <c r="G167" t="s">
        <v>59</v>
      </c>
      <c r="H167" t="s">
        <v>6</v>
      </c>
      <c r="I167" t="s">
        <v>15</v>
      </c>
      <c r="J167" t="s">
        <v>18</v>
      </c>
      <c r="K167">
        <v>47</v>
      </c>
      <c r="L167" t="s">
        <v>49</v>
      </c>
      <c r="M167">
        <v>0</v>
      </c>
      <c r="N167">
        <f t="shared" si="11"/>
        <v>1</v>
      </c>
      <c r="P167" s="4">
        <f t="shared" si="8"/>
        <v>5</v>
      </c>
      <c r="Q167" s="4" t="str">
        <f t="shared" si="9"/>
        <v>Late Night</v>
      </c>
      <c r="R167" s="4" t="str">
        <f t="shared" si="10"/>
        <v>Medium</v>
      </c>
    </row>
    <row r="168" spans="1:18">
      <c r="A168" t="s">
        <v>335</v>
      </c>
      <c r="B168" s="2">
        <v>46052</v>
      </c>
      <c r="C168" s="3">
        <v>0.471527777777778</v>
      </c>
      <c r="D168" t="s">
        <v>336</v>
      </c>
      <c r="E168">
        <v>64.56</v>
      </c>
      <c r="F168" t="s">
        <v>28</v>
      </c>
      <c r="G168" t="s">
        <v>59</v>
      </c>
      <c r="H168" t="s">
        <v>8</v>
      </c>
      <c r="I168" t="s">
        <v>15</v>
      </c>
      <c r="J168" t="s">
        <v>18</v>
      </c>
      <c r="K168">
        <v>21</v>
      </c>
      <c r="L168" t="s">
        <v>49</v>
      </c>
      <c r="M168">
        <v>0</v>
      </c>
      <c r="N168">
        <f t="shared" si="11"/>
        <v>1</v>
      </c>
      <c r="P168" s="4">
        <f t="shared" si="8"/>
        <v>11</v>
      </c>
      <c r="Q168" s="4" t="str">
        <f t="shared" si="9"/>
        <v>Late Night</v>
      </c>
      <c r="R168" s="4" t="str">
        <f t="shared" si="10"/>
        <v>Low</v>
      </c>
    </row>
    <row r="169" spans="1:18">
      <c r="A169" t="s">
        <v>337</v>
      </c>
      <c r="B169" s="2">
        <v>46053</v>
      </c>
      <c r="C169" s="3">
        <v>0.465277777777778</v>
      </c>
      <c r="D169" t="s">
        <v>73</v>
      </c>
      <c r="E169">
        <v>338.76</v>
      </c>
      <c r="F169" t="s">
        <v>31</v>
      </c>
      <c r="G169" t="s">
        <v>54</v>
      </c>
      <c r="H169" t="s">
        <v>8</v>
      </c>
      <c r="I169" t="s">
        <v>14</v>
      </c>
      <c r="J169" t="s">
        <v>23</v>
      </c>
      <c r="K169">
        <v>56</v>
      </c>
      <c r="L169" t="s">
        <v>49</v>
      </c>
      <c r="M169">
        <v>0</v>
      </c>
      <c r="N169">
        <f t="shared" si="11"/>
        <v>1</v>
      </c>
      <c r="P169" s="4">
        <f t="shared" si="8"/>
        <v>11</v>
      </c>
      <c r="Q169" s="4" t="str">
        <f t="shared" si="9"/>
        <v>Late Night</v>
      </c>
      <c r="R169" s="4" t="str">
        <f t="shared" si="10"/>
        <v>Low</v>
      </c>
    </row>
    <row r="170" spans="1:18">
      <c r="A170" t="s">
        <v>338</v>
      </c>
      <c r="B170" s="2">
        <v>46053</v>
      </c>
      <c r="C170" s="3">
        <v>0.797916666666667</v>
      </c>
      <c r="D170" t="s">
        <v>296</v>
      </c>
      <c r="E170">
        <v>166.89</v>
      </c>
      <c r="F170" t="s">
        <v>31</v>
      </c>
      <c r="G170" t="s">
        <v>48</v>
      </c>
      <c r="H170" t="s">
        <v>3</v>
      </c>
      <c r="I170" t="s">
        <v>15</v>
      </c>
      <c r="J170" t="s">
        <v>19</v>
      </c>
      <c r="K170">
        <v>37</v>
      </c>
      <c r="L170" t="s">
        <v>49</v>
      </c>
      <c r="M170">
        <v>0</v>
      </c>
      <c r="N170">
        <f t="shared" si="11"/>
        <v>1</v>
      </c>
      <c r="P170" s="4">
        <f t="shared" si="8"/>
        <v>19</v>
      </c>
      <c r="Q170" s="4" t="str">
        <f t="shared" si="9"/>
        <v>Late Night</v>
      </c>
      <c r="R170" s="4" t="str">
        <f t="shared" si="10"/>
        <v>Low</v>
      </c>
    </row>
    <row r="171" spans="1:18">
      <c r="A171" t="s">
        <v>339</v>
      </c>
      <c r="B171" s="2">
        <v>46053</v>
      </c>
      <c r="C171" s="3">
        <v>0.44375</v>
      </c>
      <c r="D171" t="s">
        <v>340</v>
      </c>
      <c r="E171">
        <v>1479.94</v>
      </c>
      <c r="F171" t="s">
        <v>31</v>
      </c>
      <c r="G171" t="s">
        <v>54</v>
      </c>
      <c r="H171" t="s">
        <v>10</v>
      </c>
      <c r="I171" t="s">
        <v>15</v>
      </c>
      <c r="J171" t="s">
        <v>19</v>
      </c>
      <c r="K171">
        <v>42</v>
      </c>
      <c r="L171" t="s">
        <v>49</v>
      </c>
      <c r="M171">
        <v>0</v>
      </c>
      <c r="N171">
        <f t="shared" si="11"/>
        <v>1</v>
      </c>
      <c r="P171" s="4">
        <f t="shared" si="8"/>
        <v>10</v>
      </c>
      <c r="Q171" s="4" t="str">
        <f t="shared" si="9"/>
        <v>Late Night</v>
      </c>
      <c r="R171" s="4" t="str">
        <f t="shared" si="10"/>
        <v>Medium</v>
      </c>
    </row>
    <row r="172" spans="1:18">
      <c r="A172" t="s">
        <v>341</v>
      </c>
      <c r="B172" s="2">
        <v>46053</v>
      </c>
      <c r="C172" s="3">
        <v>0.942361111111111</v>
      </c>
      <c r="D172" t="s">
        <v>342</v>
      </c>
      <c r="E172">
        <v>313.87</v>
      </c>
      <c r="F172" t="s">
        <v>28</v>
      </c>
      <c r="G172" t="s">
        <v>48</v>
      </c>
      <c r="H172" t="s">
        <v>6</v>
      </c>
      <c r="I172" t="s">
        <v>15</v>
      </c>
      <c r="J172" t="s">
        <v>21</v>
      </c>
      <c r="K172">
        <v>45</v>
      </c>
      <c r="L172" t="s">
        <v>49</v>
      </c>
      <c r="M172">
        <v>0</v>
      </c>
      <c r="N172">
        <f t="shared" si="11"/>
        <v>1</v>
      </c>
      <c r="P172" s="4">
        <f t="shared" si="8"/>
        <v>22</v>
      </c>
      <c r="Q172" s="4" t="str">
        <f t="shared" si="9"/>
        <v>Late Night</v>
      </c>
      <c r="R172" s="4" t="str">
        <f t="shared" si="10"/>
        <v>Low</v>
      </c>
    </row>
    <row r="173" spans="1:18">
      <c r="A173" t="s">
        <v>343</v>
      </c>
      <c r="B173" s="2">
        <v>46053</v>
      </c>
      <c r="C173" s="3">
        <v>0.253472222222222</v>
      </c>
      <c r="D173" t="s">
        <v>170</v>
      </c>
      <c r="E173">
        <v>250.81</v>
      </c>
      <c r="F173" t="s">
        <v>31</v>
      </c>
      <c r="G173" t="s">
        <v>71</v>
      </c>
      <c r="H173" t="s">
        <v>7</v>
      </c>
      <c r="I173" t="s">
        <v>14</v>
      </c>
      <c r="J173" t="s">
        <v>20</v>
      </c>
      <c r="K173">
        <v>29</v>
      </c>
      <c r="L173" t="s">
        <v>49</v>
      </c>
      <c r="M173">
        <v>0</v>
      </c>
      <c r="N173">
        <f t="shared" si="11"/>
        <v>1</v>
      </c>
      <c r="P173" s="4">
        <f t="shared" si="8"/>
        <v>6</v>
      </c>
      <c r="Q173" s="4" t="str">
        <f t="shared" si="9"/>
        <v>Late Night</v>
      </c>
      <c r="R173" s="4" t="str">
        <f t="shared" si="10"/>
        <v>Low</v>
      </c>
    </row>
    <row r="174" spans="1:18">
      <c r="A174" t="s">
        <v>344</v>
      </c>
      <c r="B174" s="2">
        <v>46053</v>
      </c>
      <c r="C174" s="3">
        <v>0.00486111111111111</v>
      </c>
      <c r="D174" t="s">
        <v>197</v>
      </c>
      <c r="E174">
        <v>167.32</v>
      </c>
      <c r="F174" t="s">
        <v>30</v>
      </c>
      <c r="G174" t="s">
        <v>54</v>
      </c>
      <c r="H174" t="s">
        <v>3</v>
      </c>
      <c r="I174" t="s">
        <v>14</v>
      </c>
      <c r="J174" t="s">
        <v>19</v>
      </c>
      <c r="K174">
        <v>19</v>
      </c>
      <c r="L174" t="s">
        <v>85</v>
      </c>
      <c r="M174">
        <v>1</v>
      </c>
      <c r="N174">
        <f t="shared" si="11"/>
        <v>1</v>
      </c>
      <c r="P174" s="4">
        <f t="shared" si="8"/>
        <v>0</v>
      </c>
      <c r="Q174" s="4" t="str">
        <f t="shared" si="9"/>
        <v>Late Night</v>
      </c>
      <c r="R174" s="4" t="str">
        <f t="shared" si="10"/>
        <v>Low</v>
      </c>
    </row>
    <row r="175" spans="1:18">
      <c r="A175" t="s">
        <v>345</v>
      </c>
      <c r="B175" s="2">
        <v>46054</v>
      </c>
      <c r="C175" s="3">
        <v>0.0152777777777778</v>
      </c>
      <c r="D175" t="s">
        <v>346</v>
      </c>
      <c r="E175">
        <v>89.74</v>
      </c>
      <c r="F175" t="s">
        <v>28</v>
      </c>
      <c r="G175" t="s">
        <v>48</v>
      </c>
      <c r="H175" t="s">
        <v>7</v>
      </c>
      <c r="I175" t="s">
        <v>15</v>
      </c>
      <c r="J175" t="s">
        <v>21</v>
      </c>
      <c r="K175">
        <v>60</v>
      </c>
      <c r="L175" t="s">
        <v>49</v>
      </c>
      <c r="M175">
        <v>0</v>
      </c>
      <c r="N175">
        <f t="shared" si="11"/>
        <v>1</v>
      </c>
      <c r="P175" s="4">
        <f t="shared" si="8"/>
        <v>0</v>
      </c>
      <c r="Q175" s="4" t="str">
        <f t="shared" si="9"/>
        <v>Late Night</v>
      </c>
      <c r="R175" s="4" t="str">
        <f t="shared" si="10"/>
        <v>Low</v>
      </c>
    </row>
    <row r="176" spans="1:18">
      <c r="A176" t="s">
        <v>347</v>
      </c>
      <c r="B176" s="2">
        <v>46054</v>
      </c>
      <c r="C176" s="3">
        <v>0.823611111111111</v>
      </c>
      <c r="D176" t="s">
        <v>129</v>
      </c>
      <c r="E176">
        <v>247.5</v>
      </c>
      <c r="F176" t="s">
        <v>31</v>
      </c>
      <c r="G176" t="s">
        <v>48</v>
      </c>
      <c r="H176" t="s">
        <v>7</v>
      </c>
      <c r="I176" t="s">
        <v>14</v>
      </c>
      <c r="J176" t="s">
        <v>19</v>
      </c>
      <c r="K176">
        <v>31</v>
      </c>
      <c r="L176" t="s">
        <v>49</v>
      </c>
      <c r="M176">
        <v>0</v>
      </c>
      <c r="N176">
        <f t="shared" si="11"/>
        <v>1</v>
      </c>
      <c r="P176" s="4">
        <f t="shared" si="8"/>
        <v>19</v>
      </c>
      <c r="Q176" s="4" t="str">
        <f t="shared" si="9"/>
        <v>Late Night</v>
      </c>
      <c r="R176" s="4" t="str">
        <f t="shared" si="10"/>
        <v>Low</v>
      </c>
    </row>
    <row r="177" spans="1:18">
      <c r="A177" t="s">
        <v>348</v>
      </c>
      <c r="B177" s="2">
        <v>46054</v>
      </c>
      <c r="C177" s="3">
        <v>0.517361111111111</v>
      </c>
      <c r="D177" t="s">
        <v>349</v>
      </c>
      <c r="E177">
        <v>45.5</v>
      </c>
      <c r="F177" t="s">
        <v>29</v>
      </c>
      <c r="G177" t="s">
        <v>59</v>
      </c>
      <c r="H177" t="s">
        <v>3</v>
      </c>
      <c r="I177" t="s">
        <v>15</v>
      </c>
      <c r="J177" t="s">
        <v>22</v>
      </c>
      <c r="K177">
        <v>39</v>
      </c>
      <c r="L177" t="s">
        <v>49</v>
      </c>
      <c r="M177">
        <v>0</v>
      </c>
      <c r="N177">
        <f t="shared" si="11"/>
        <v>1</v>
      </c>
      <c r="P177" s="4">
        <f t="shared" si="8"/>
        <v>12</v>
      </c>
      <c r="Q177" s="4" t="str">
        <f t="shared" si="9"/>
        <v>Late Night</v>
      </c>
      <c r="R177" s="4" t="str">
        <f t="shared" si="10"/>
        <v>Low</v>
      </c>
    </row>
    <row r="178" spans="1:18">
      <c r="A178" t="s">
        <v>350</v>
      </c>
      <c r="B178" s="2">
        <v>46054</v>
      </c>
      <c r="C178" s="3">
        <v>0.364583333333333</v>
      </c>
      <c r="D178" t="s">
        <v>105</v>
      </c>
      <c r="E178">
        <v>47.64</v>
      </c>
      <c r="F178" t="s">
        <v>29</v>
      </c>
      <c r="G178" t="s">
        <v>59</v>
      </c>
      <c r="H178" t="s">
        <v>5</v>
      </c>
      <c r="I178" t="s">
        <v>14</v>
      </c>
      <c r="J178" t="s">
        <v>24</v>
      </c>
      <c r="K178">
        <v>48</v>
      </c>
      <c r="L178" t="s">
        <v>49</v>
      </c>
      <c r="M178">
        <v>0</v>
      </c>
      <c r="N178">
        <f t="shared" si="11"/>
        <v>1</v>
      </c>
      <c r="P178" s="4">
        <f t="shared" si="8"/>
        <v>8</v>
      </c>
      <c r="Q178" s="4" t="str">
        <f t="shared" si="9"/>
        <v>Late Night</v>
      </c>
      <c r="R178" s="4" t="str">
        <f t="shared" si="10"/>
        <v>Low</v>
      </c>
    </row>
    <row r="179" spans="1:18">
      <c r="A179" t="s">
        <v>351</v>
      </c>
      <c r="B179" s="2">
        <v>46054</v>
      </c>
      <c r="C179" s="3">
        <v>0.1125</v>
      </c>
      <c r="D179" t="s">
        <v>84</v>
      </c>
      <c r="E179">
        <v>498.92</v>
      </c>
      <c r="F179" t="s">
        <v>31</v>
      </c>
      <c r="G179" t="s">
        <v>54</v>
      </c>
      <c r="H179" t="s">
        <v>10</v>
      </c>
      <c r="I179" t="s">
        <v>15</v>
      </c>
      <c r="J179" t="s">
        <v>20</v>
      </c>
      <c r="K179">
        <v>40</v>
      </c>
      <c r="L179" t="s">
        <v>49</v>
      </c>
      <c r="M179">
        <v>0</v>
      </c>
      <c r="N179">
        <f t="shared" si="11"/>
        <v>1</v>
      </c>
      <c r="P179" s="4">
        <f t="shared" si="8"/>
        <v>2</v>
      </c>
      <c r="Q179" s="4" t="str">
        <f t="shared" si="9"/>
        <v>Late Night</v>
      </c>
      <c r="R179" s="4" t="str">
        <f t="shared" si="10"/>
        <v>Low</v>
      </c>
    </row>
    <row r="180" spans="1:18">
      <c r="A180" t="s">
        <v>352</v>
      </c>
      <c r="B180" s="2">
        <v>46055</v>
      </c>
      <c r="C180" s="3">
        <v>0.257638888888889</v>
      </c>
      <c r="D180" t="s">
        <v>282</v>
      </c>
      <c r="E180">
        <v>31.12</v>
      </c>
      <c r="F180" t="s">
        <v>31</v>
      </c>
      <c r="G180" t="s">
        <v>48</v>
      </c>
      <c r="H180" t="s">
        <v>3</v>
      </c>
      <c r="I180" t="s">
        <v>15</v>
      </c>
      <c r="J180" t="s">
        <v>21</v>
      </c>
      <c r="K180">
        <v>65</v>
      </c>
      <c r="L180" t="s">
        <v>49</v>
      </c>
      <c r="M180">
        <v>0</v>
      </c>
      <c r="N180">
        <f t="shared" si="11"/>
        <v>1</v>
      </c>
      <c r="P180" s="4">
        <f t="shared" si="8"/>
        <v>6</v>
      </c>
      <c r="Q180" s="4" t="str">
        <f t="shared" si="9"/>
        <v>Late Night</v>
      </c>
      <c r="R180" s="4" t="str">
        <f t="shared" si="10"/>
        <v>Low</v>
      </c>
    </row>
    <row r="181" spans="1:18">
      <c r="A181" t="s">
        <v>353</v>
      </c>
      <c r="B181" s="2">
        <v>46055</v>
      </c>
      <c r="C181" s="3">
        <v>0.225694444444444</v>
      </c>
      <c r="D181" t="s">
        <v>296</v>
      </c>
      <c r="E181">
        <v>131.69</v>
      </c>
      <c r="F181" t="s">
        <v>31</v>
      </c>
      <c r="G181" t="s">
        <v>54</v>
      </c>
      <c r="H181" t="s">
        <v>8</v>
      </c>
      <c r="I181" t="s">
        <v>14</v>
      </c>
      <c r="J181" t="s">
        <v>24</v>
      </c>
      <c r="K181">
        <v>37</v>
      </c>
      <c r="L181" t="s">
        <v>159</v>
      </c>
      <c r="M181">
        <v>0</v>
      </c>
      <c r="N181">
        <f t="shared" si="11"/>
        <v>1</v>
      </c>
      <c r="P181" s="4">
        <f t="shared" si="8"/>
        <v>5</v>
      </c>
      <c r="Q181" s="4" t="str">
        <f t="shared" si="9"/>
        <v>Late Night</v>
      </c>
      <c r="R181" s="4" t="str">
        <f t="shared" si="10"/>
        <v>Low</v>
      </c>
    </row>
    <row r="182" spans="1:18">
      <c r="A182" t="s">
        <v>354</v>
      </c>
      <c r="B182" s="2">
        <v>46055</v>
      </c>
      <c r="C182" s="3">
        <v>0.3</v>
      </c>
      <c r="D182" t="s">
        <v>73</v>
      </c>
      <c r="E182">
        <v>63.49</v>
      </c>
      <c r="F182" t="s">
        <v>29</v>
      </c>
      <c r="G182" t="s">
        <v>48</v>
      </c>
      <c r="H182" t="s">
        <v>3</v>
      </c>
      <c r="I182" t="s">
        <v>15</v>
      </c>
      <c r="J182" t="s">
        <v>24</v>
      </c>
      <c r="K182">
        <v>55</v>
      </c>
      <c r="L182" t="s">
        <v>49</v>
      </c>
      <c r="M182">
        <v>0</v>
      </c>
      <c r="N182">
        <f t="shared" si="11"/>
        <v>1</v>
      </c>
      <c r="P182" s="4">
        <f t="shared" si="8"/>
        <v>7</v>
      </c>
      <c r="Q182" s="4" t="str">
        <f t="shared" si="9"/>
        <v>Late Night</v>
      </c>
      <c r="R182" s="4" t="str">
        <f t="shared" si="10"/>
        <v>Low</v>
      </c>
    </row>
    <row r="183" spans="1:18">
      <c r="A183" t="s">
        <v>355</v>
      </c>
      <c r="B183" s="2">
        <v>46055</v>
      </c>
      <c r="C183" s="3">
        <v>0.360416666666667</v>
      </c>
      <c r="D183" t="s">
        <v>321</v>
      </c>
      <c r="E183">
        <v>121.21</v>
      </c>
      <c r="F183" t="s">
        <v>29</v>
      </c>
      <c r="G183" t="s">
        <v>59</v>
      </c>
      <c r="H183" t="s">
        <v>6</v>
      </c>
      <c r="I183" t="s">
        <v>14</v>
      </c>
      <c r="J183" t="s">
        <v>19</v>
      </c>
      <c r="K183">
        <v>21</v>
      </c>
      <c r="L183" t="s">
        <v>49</v>
      </c>
      <c r="M183">
        <v>0</v>
      </c>
      <c r="N183">
        <f t="shared" si="11"/>
        <v>1</v>
      </c>
      <c r="P183" s="4">
        <f t="shared" si="8"/>
        <v>8</v>
      </c>
      <c r="Q183" s="4" t="str">
        <f t="shared" si="9"/>
        <v>Late Night</v>
      </c>
      <c r="R183" s="4" t="str">
        <f t="shared" si="10"/>
        <v>Low</v>
      </c>
    </row>
    <row r="184" spans="1:18">
      <c r="A184" t="s">
        <v>356</v>
      </c>
      <c r="B184" s="2">
        <v>46055</v>
      </c>
      <c r="C184" s="3">
        <v>0.178472222222222</v>
      </c>
      <c r="D184" t="s">
        <v>65</v>
      </c>
      <c r="E184">
        <v>218.01</v>
      </c>
      <c r="F184" t="s">
        <v>28</v>
      </c>
      <c r="G184" t="s">
        <v>59</v>
      </c>
      <c r="H184" t="s">
        <v>3</v>
      </c>
      <c r="I184" t="s">
        <v>15</v>
      </c>
      <c r="J184" t="s">
        <v>23</v>
      </c>
      <c r="K184">
        <v>32</v>
      </c>
      <c r="L184" t="s">
        <v>85</v>
      </c>
      <c r="M184">
        <v>1</v>
      </c>
      <c r="N184">
        <f t="shared" si="11"/>
        <v>1</v>
      </c>
      <c r="P184" s="4">
        <f t="shared" si="8"/>
        <v>4</v>
      </c>
      <c r="Q184" s="4" t="str">
        <f t="shared" si="9"/>
        <v>Late Night</v>
      </c>
      <c r="R184" s="4" t="str">
        <f t="shared" si="10"/>
        <v>Low</v>
      </c>
    </row>
    <row r="185" spans="1:18">
      <c r="A185" t="s">
        <v>357</v>
      </c>
      <c r="B185" s="2">
        <v>46055</v>
      </c>
      <c r="C185" s="3">
        <v>0.0166666666666667</v>
      </c>
      <c r="D185" t="s">
        <v>358</v>
      </c>
      <c r="E185">
        <v>485.2</v>
      </c>
      <c r="F185" t="s">
        <v>30</v>
      </c>
      <c r="G185" t="s">
        <v>54</v>
      </c>
      <c r="H185" t="s">
        <v>5</v>
      </c>
      <c r="I185" t="s">
        <v>15</v>
      </c>
      <c r="J185" t="s">
        <v>22</v>
      </c>
      <c r="K185">
        <v>41</v>
      </c>
      <c r="L185" t="s">
        <v>49</v>
      </c>
      <c r="M185">
        <v>0</v>
      </c>
      <c r="N185">
        <f t="shared" si="11"/>
        <v>1</v>
      </c>
      <c r="P185" s="4">
        <f t="shared" si="8"/>
        <v>0</v>
      </c>
      <c r="Q185" s="4" t="str">
        <f t="shared" si="9"/>
        <v>Late Night</v>
      </c>
      <c r="R185" s="4" t="str">
        <f t="shared" si="10"/>
        <v>Low</v>
      </c>
    </row>
    <row r="186" spans="1:18">
      <c r="A186" t="s">
        <v>359</v>
      </c>
      <c r="B186" s="2">
        <v>46056</v>
      </c>
      <c r="C186" s="3">
        <v>0.772222222222222</v>
      </c>
      <c r="D186" t="s">
        <v>305</v>
      </c>
      <c r="E186">
        <v>612.55</v>
      </c>
      <c r="F186" t="s">
        <v>30</v>
      </c>
      <c r="G186" t="s">
        <v>48</v>
      </c>
      <c r="H186" t="s">
        <v>6</v>
      </c>
      <c r="I186" t="s">
        <v>15</v>
      </c>
      <c r="J186" t="s">
        <v>22</v>
      </c>
      <c r="K186">
        <v>42</v>
      </c>
      <c r="L186" t="s">
        <v>49</v>
      </c>
      <c r="M186">
        <v>0</v>
      </c>
      <c r="N186">
        <f t="shared" si="11"/>
        <v>1</v>
      </c>
      <c r="P186" s="4">
        <f t="shared" si="8"/>
        <v>18</v>
      </c>
      <c r="Q186" s="4" t="str">
        <f t="shared" si="9"/>
        <v>Late Night</v>
      </c>
      <c r="R186" s="4" t="str">
        <f t="shared" si="10"/>
        <v>Low</v>
      </c>
    </row>
    <row r="187" spans="1:18">
      <c r="A187" t="s">
        <v>360</v>
      </c>
      <c r="B187" s="2">
        <v>46056</v>
      </c>
      <c r="C187" s="3">
        <v>0.406944444444444</v>
      </c>
      <c r="D187" t="s">
        <v>361</v>
      </c>
      <c r="E187">
        <v>72.32</v>
      </c>
      <c r="F187" t="s">
        <v>29</v>
      </c>
      <c r="G187" t="s">
        <v>71</v>
      </c>
      <c r="H187" t="s">
        <v>8</v>
      </c>
      <c r="I187" t="s">
        <v>15</v>
      </c>
      <c r="J187" t="s">
        <v>22</v>
      </c>
      <c r="K187">
        <v>18</v>
      </c>
      <c r="L187" t="s">
        <v>49</v>
      </c>
      <c r="M187">
        <v>0</v>
      </c>
      <c r="N187">
        <f t="shared" si="11"/>
        <v>1</v>
      </c>
      <c r="P187" s="4">
        <f t="shared" si="8"/>
        <v>9</v>
      </c>
      <c r="Q187" s="4" t="str">
        <f t="shared" si="9"/>
        <v>Late Night</v>
      </c>
      <c r="R187" s="4" t="str">
        <f t="shared" si="10"/>
        <v>Low</v>
      </c>
    </row>
    <row r="188" spans="1:18">
      <c r="A188" t="s">
        <v>362</v>
      </c>
      <c r="B188" s="2">
        <v>46056</v>
      </c>
      <c r="C188" s="3">
        <v>0.485416666666667</v>
      </c>
      <c r="D188" t="s">
        <v>145</v>
      </c>
      <c r="E188">
        <v>113.75</v>
      </c>
      <c r="F188" t="s">
        <v>30</v>
      </c>
      <c r="G188" t="s">
        <v>54</v>
      </c>
      <c r="H188" t="s">
        <v>4</v>
      </c>
      <c r="I188" t="s">
        <v>15</v>
      </c>
      <c r="J188" t="s">
        <v>20</v>
      </c>
      <c r="K188">
        <v>24</v>
      </c>
      <c r="L188" t="s">
        <v>49</v>
      </c>
      <c r="M188">
        <v>0</v>
      </c>
      <c r="N188">
        <f t="shared" si="11"/>
        <v>1</v>
      </c>
      <c r="P188" s="4">
        <f t="shared" si="8"/>
        <v>11</v>
      </c>
      <c r="Q188" s="4" t="str">
        <f t="shared" si="9"/>
        <v>Late Night</v>
      </c>
      <c r="R188" s="4" t="str">
        <f t="shared" si="10"/>
        <v>Low</v>
      </c>
    </row>
    <row r="189" spans="1:18">
      <c r="A189" t="s">
        <v>363</v>
      </c>
      <c r="B189" s="2">
        <v>46056</v>
      </c>
      <c r="C189" s="3">
        <v>0.999305555555556</v>
      </c>
      <c r="D189" t="s">
        <v>364</v>
      </c>
      <c r="E189">
        <v>10431.13</v>
      </c>
      <c r="F189" t="s">
        <v>31</v>
      </c>
      <c r="G189" t="s">
        <v>59</v>
      </c>
      <c r="H189" t="s">
        <v>4</v>
      </c>
      <c r="I189" t="s">
        <v>15</v>
      </c>
      <c r="J189" t="s">
        <v>18</v>
      </c>
      <c r="K189">
        <v>48</v>
      </c>
      <c r="L189" t="s">
        <v>49</v>
      </c>
      <c r="M189">
        <v>0</v>
      </c>
      <c r="N189">
        <f t="shared" si="11"/>
        <v>1</v>
      </c>
      <c r="P189" s="4">
        <f t="shared" si="8"/>
        <v>23</v>
      </c>
      <c r="Q189" s="4" t="str">
        <f t="shared" si="9"/>
        <v>Late Night</v>
      </c>
      <c r="R189" s="4" t="str">
        <f t="shared" si="10"/>
        <v>High</v>
      </c>
    </row>
    <row r="190" spans="1:18">
      <c r="A190" t="s">
        <v>365</v>
      </c>
      <c r="B190" s="2">
        <v>46056</v>
      </c>
      <c r="C190" s="3">
        <v>0.6125</v>
      </c>
      <c r="D190" t="s">
        <v>331</v>
      </c>
      <c r="E190">
        <v>141.17</v>
      </c>
      <c r="F190" t="s">
        <v>31</v>
      </c>
      <c r="G190" t="s">
        <v>48</v>
      </c>
      <c r="H190" t="s">
        <v>7</v>
      </c>
      <c r="I190" t="s">
        <v>15</v>
      </c>
      <c r="J190" t="s">
        <v>20</v>
      </c>
      <c r="K190">
        <v>29</v>
      </c>
      <c r="L190" t="s">
        <v>49</v>
      </c>
      <c r="M190">
        <v>0</v>
      </c>
      <c r="N190">
        <f t="shared" si="11"/>
        <v>1</v>
      </c>
      <c r="P190" s="4">
        <f t="shared" si="8"/>
        <v>14</v>
      </c>
      <c r="Q190" s="4" t="str">
        <f t="shared" si="9"/>
        <v>Late Night</v>
      </c>
      <c r="R190" s="4" t="str">
        <f t="shared" si="10"/>
        <v>Low</v>
      </c>
    </row>
    <row r="191" spans="1:18">
      <c r="A191" t="s">
        <v>366</v>
      </c>
      <c r="B191" s="2">
        <v>46057</v>
      </c>
      <c r="C191" s="3">
        <v>0.882638888888889</v>
      </c>
      <c r="D191" t="s">
        <v>331</v>
      </c>
      <c r="E191">
        <v>75.02</v>
      </c>
      <c r="F191" t="s">
        <v>31</v>
      </c>
      <c r="G191" t="s">
        <v>54</v>
      </c>
      <c r="H191" t="s">
        <v>10</v>
      </c>
      <c r="I191" t="s">
        <v>15</v>
      </c>
      <c r="J191" t="s">
        <v>21</v>
      </c>
      <c r="K191">
        <v>59</v>
      </c>
      <c r="L191" t="s">
        <v>49</v>
      </c>
      <c r="M191">
        <v>0</v>
      </c>
      <c r="N191">
        <f t="shared" si="11"/>
        <v>1</v>
      </c>
      <c r="P191" s="4">
        <f t="shared" si="8"/>
        <v>21</v>
      </c>
      <c r="Q191" s="4" t="str">
        <f t="shared" si="9"/>
        <v>Late Night</v>
      </c>
      <c r="R191" s="4" t="str">
        <f t="shared" si="10"/>
        <v>Low</v>
      </c>
    </row>
    <row r="192" spans="1:18">
      <c r="A192" t="s">
        <v>367</v>
      </c>
      <c r="B192" s="2">
        <v>46057</v>
      </c>
      <c r="C192" s="3">
        <v>0.988194444444444</v>
      </c>
      <c r="D192" t="s">
        <v>368</v>
      </c>
      <c r="E192">
        <v>88.61</v>
      </c>
      <c r="F192" t="s">
        <v>31</v>
      </c>
      <c r="G192" t="s">
        <v>48</v>
      </c>
      <c r="H192" t="s">
        <v>7</v>
      </c>
      <c r="I192" t="s">
        <v>16</v>
      </c>
      <c r="J192" t="s">
        <v>24</v>
      </c>
      <c r="K192">
        <v>22</v>
      </c>
      <c r="L192" t="s">
        <v>49</v>
      </c>
      <c r="M192">
        <v>0</v>
      </c>
      <c r="N192">
        <f t="shared" si="11"/>
        <v>1</v>
      </c>
      <c r="P192" s="4">
        <f t="shared" si="8"/>
        <v>23</v>
      </c>
      <c r="Q192" s="4" t="str">
        <f t="shared" si="9"/>
        <v>Late Night</v>
      </c>
      <c r="R192" s="4" t="str">
        <f t="shared" si="10"/>
        <v>Low</v>
      </c>
    </row>
    <row r="193" spans="1:18">
      <c r="A193" t="s">
        <v>369</v>
      </c>
      <c r="B193" s="2">
        <v>46057</v>
      </c>
      <c r="C193" s="3">
        <v>0.357638888888889</v>
      </c>
      <c r="D193" t="s">
        <v>370</v>
      </c>
      <c r="E193">
        <v>142</v>
      </c>
      <c r="F193" t="s">
        <v>28</v>
      </c>
      <c r="G193" t="s">
        <v>54</v>
      </c>
      <c r="H193" t="s">
        <v>5</v>
      </c>
      <c r="I193" t="s">
        <v>16</v>
      </c>
      <c r="J193" t="s">
        <v>24</v>
      </c>
      <c r="K193">
        <v>61</v>
      </c>
      <c r="L193" t="s">
        <v>49</v>
      </c>
      <c r="M193">
        <v>0</v>
      </c>
      <c r="N193">
        <f t="shared" si="11"/>
        <v>1</v>
      </c>
      <c r="P193" s="4">
        <f t="shared" si="8"/>
        <v>8</v>
      </c>
      <c r="Q193" s="4" t="str">
        <f t="shared" si="9"/>
        <v>Late Night</v>
      </c>
      <c r="R193" s="4" t="str">
        <f t="shared" si="10"/>
        <v>Low</v>
      </c>
    </row>
    <row r="194" spans="1:18">
      <c r="A194" t="s">
        <v>371</v>
      </c>
      <c r="B194" s="2">
        <v>46057</v>
      </c>
      <c r="C194" s="3">
        <v>0.824305555555556</v>
      </c>
      <c r="D194" t="s">
        <v>372</v>
      </c>
      <c r="E194">
        <v>122.4</v>
      </c>
      <c r="F194" t="s">
        <v>32</v>
      </c>
      <c r="G194" t="s">
        <v>71</v>
      </c>
      <c r="H194" t="s">
        <v>9</v>
      </c>
      <c r="I194" t="s">
        <v>15</v>
      </c>
      <c r="J194" t="s">
        <v>18</v>
      </c>
      <c r="K194">
        <v>59</v>
      </c>
      <c r="L194" t="s">
        <v>49</v>
      </c>
      <c r="M194">
        <v>0</v>
      </c>
      <c r="N194">
        <f t="shared" si="11"/>
        <v>1</v>
      </c>
      <c r="P194" s="4">
        <f t="shared" ref="P194:P257" si="12">HOUR(C194)</f>
        <v>19</v>
      </c>
      <c r="Q194" s="4" t="str">
        <f t="shared" ref="Q194:Q257" si="13">IF(N194&lt;6,"Late Night",IF(N194&lt;12,"Morning",IF(N194&lt;18,"Afternoon","Evening")))</f>
        <v>Late Night</v>
      </c>
      <c r="R194" s="4" t="str">
        <f t="shared" ref="R194:R257" si="14">IF(E194&lt;1000,"Low",IF(E194&lt;5000,"Medium",IF(E194&lt;15000,"High","Very High")))</f>
        <v>Low</v>
      </c>
    </row>
    <row r="195" spans="1:18">
      <c r="A195" t="s">
        <v>373</v>
      </c>
      <c r="B195" s="2">
        <v>46057</v>
      </c>
      <c r="C195" s="3">
        <v>0.66875</v>
      </c>
      <c r="D195" t="s">
        <v>260</v>
      </c>
      <c r="E195">
        <v>143.4</v>
      </c>
      <c r="F195" t="s">
        <v>31</v>
      </c>
      <c r="G195" t="s">
        <v>54</v>
      </c>
      <c r="H195" t="s">
        <v>8</v>
      </c>
      <c r="I195" t="s">
        <v>14</v>
      </c>
      <c r="J195" t="s">
        <v>21</v>
      </c>
      <c r="K195">
        <v>55</v>
      </c>
      <c r="L195" t="s">
        <v>49</v>
      </c>
      <c r="M195">
        <v>0</v>
      </c>
      <c r="N195">
        <f t="shared" ref="N195:N258" si="15">COUNTIF($A$2:$A$1001,A195)</f>
        <v>1</v>
      </c>
      <c r="P195" s="4">
        <f t="shared" si="12"/>
        <v>16</v>
      </c>
      <c r="Q195" s="4" t="str">
        <f t="shared" si="13"/>
        <v>Late Night</v>
      </c>
      <c r="R195" s="4" t="str">
        <f t="shared" si="14"/>
        <v>Low</v>
      </c>
    </row>
    <row r="196" spans="1:18">
      <c r="A196" t="s">
        <v>374</v>
      </c>
      <c r="B196" s="2">
        <v>46057</v>
      </c>
      <c r="C196" s="3">
        <v>0.669444444444444</v>
      </c>
      <c r="D196" t="s">
        <v>153</v>
      </c>
      <c r="E196">
        <v>177.43</v>
      </c>
      <c r="F196" t="s">
        <v>31</v>
      </c>
      <c r="G196" t="s">
        <v>48</v>
      </c>
      <c r="H196" t="s">
        <v>10</v>
      </c>
      <c r="I196" t="s">
        <v>15</v>
      </c>
      <c r="J196" t="s">
        <v>18</v>
      </c>
      <c r="K196">
        <v>29</v>
      </c>
      <c r="L196" t="s">
        <v>49</v>
      </c>
      <c r="M196">
        <v>0</v>
      </c>
      <c r="N196">
        <f t="shared" si="15"/>
        <v>1</v>
      </c>
      <c r="P196" s="4">
        <f t="shared" si="12"/>
        <v>16</v>
      </c>
      <c r="Q196" s="4" t="str">
        <f t="shared" si="13"/>
        <v>Late Night</v>
      </c>
      <c r="R196" s="4" t="str">
        <f t="shared" si="14"/>
        <v>Low</v>
      </c>
    </row>
    <row r="197" spans="1:18">
      <c r="A197" t="s">
        <v>375</v>
      </c>
      <c r="B197" s="2">
        <v>46058</v>
      </c>
      <c r="C197" s="3">
        <v>0.829861111111111</v>
      </c>
      <c r="D197" t="s">
        <v>203</v>
      </c>
      <c r="E197">
        <v>176.2</v>
      </c>
      <c r="F197" t="s">
        <v>28</v>
      </c>
      <c r="G197" t="s">
        <v>48</v>
      </c>
      <c r="H197" t="s">
        <v>8</v>
      </c>
      <c r="I197" t="s">
        <v>15</v>
      </c>
      <c r="J197" t="s">
        <v>24</v>
      </c>
      <c r="K197">
        <v>56</v>
      </c>
      <c r="L197" t="s">
        <v>49</v>
      </c>
      <c r="M197">
        <v>0</v>
      </c>
      <c r="N197">
        <f t="shared" si="15"/>
        <v>1</v>
      </c>
      <c r="P197" s="4">
        <f t="shared" si="12"/>
        <v>19</v>
      </c>
      <c r="Q197" s="4" t="str">
        <f t="shared" si="13"/>
        <v>Late Night</v>
      </c>
      <c r="R197" s="4" t="str">
        <f t="shared" si="14"/>
        <v>Low</v>
      </c>
    </row>
    <row r="198" spans="1:18">
      <c r="A198" t="s">
        <v>376</v>
      </c>
      <c r="B198" s="2">
        <v>46058</v>
      </c>
      <c r="C198" s="3">
        <v>0.483333333333333</v>
      </c>
      <c r="D198" t="s">
        <v>361</v>
      </c>
      <c r="E198">
        <v>69.72</v>
      </c>
      <c r="F198" t="s">
        <v>32</v>
      </c>
      <c r="G198" t="s">
        <v>54</v>
      </c>
      <c r="H198" t="s">
        <v>4</v>
      </c>
      <c r="I198" t="s">
        <v>14</v>
      </c>
      <c r="J198" t="s">
        <v>19</v>
      </c>
      <c r="K198">
        <v>35</v>
      </c>
      <c r="L198" t="s">
        <v>49</v>
      </c>
      <c r="M198">
        <v>0</v>
      </c>
      <c r="N198">
        <f t="shared" si="15"/>
        <v>1</v>
      </c>
      <c r="P198" s="4">
        <f t="shared" si="12"/>
        <v>11</v>
      </c>
      <c r="Q198" s="4" t="str">
        <f t="shared" si="13"/>
        <v>Late Night</v>
      </c>
      <c r="R198" s="4" t="str">
        <f t="shared" si="14"/>
        <v>Low</v>
      </c>
    </row>
    <row r="199" spans="1:18">
      <c r="A199" t="s">
        <v>377</v>
      </c>
      <c r="B199" s="2">
        <v>46058</v>
      </c>
      <c r="C199" s="3">
        <v>0.254861111111111</v>
      </c>
      <c r="D199" t="s">
        <v>378</v>
      </c>
      <c r="E199">
        <v>262.26</v>
      </c>
      <c r="F199" t="s">
        <v>31</v>
      </c>
      <c r="G199" t="s">
        <v>48</v>
      </c>
      <c r="H199" t="s">
        <v>7</v>
      </c>
      <c r="I199" t="s">
        <v>16</v>
      </c>
      <c r="J199" t="s">
        <v>20</v>
      </c>
      <c r="K199">
        <v>19</v>
      </c>
      <c r="L199" t="s">
        <v>49</v>
      </c>
      <c r="M199">
        <v>0</v>
      </c>
      <c r="N199">
        <f t="shared" si="15"/>
        <v>1</v>
      </c>
      <c r="P199" s="4">
        <f t="shared" si="12"/>
        <v>6</v>
      </c>
      <c r="Q199" s="4" t="str">
        <f t="shared" si="13"/>
        <v>Late Night</v>
      </c>
      <c r="R199" s="4" t="str">
        <f t="shared" si="14"/>
        <v>Low</v>
      </c>
    </row>
    <row r="200" spans="1:18">
      <c r="A200" t="s">
        <v>379</v>
      </c>
      <c r="B200" s="2">
        <v>46058</v>
      </c>
      <c r="C200" s="3">
        <v>0.0701388888888889</v>
      </c>
      <c r="D200" t="s">
        <v>380</v>
      </c>
      <c r="E200">
        <v>204.6</v>
      </c>
      <c r="F200" t="s">
        <v>28</v>
      </c>
      <c r="G200" t="s">
        <v>48</v>
      </c>
      <c r="H200" t="s">
        <v>8</v>
      </c>
      <c r="I200" t="s">
        <v>15</v>
      </c>
      <c r="J200" t="s">
        <v>22</v>
      </c>
      <c r="K200">
        <v>27</v>
      </c>
      <c r="L200" t="s">
        <v>49</v>
      </c>
      <c r="M200">
        <v>0</v>
      </c>
      <c r="N200">
        <f t="shared" si="15"/>
        <v>1</v>
      </c>
      <c r="P200" s="4">
        <f t="shared" si="12"/>
        <v>1</v>
      </c>
      <c r="Q200" s="4" t="str">
        <f t="shared" si="13"/>
        <v>Late Night</v>
      </c>
      <c r="R200" s="4" t="str">
        <f t="shared" si="14"/>
        <v>Low</v>
      </c>
    </row>
    <row r="201" spans="1:18">
      <c r="A201" t="s">
        <v>381</v>
      </c>
      <c r="B201" s="2">
        <v>46058</v>
      </c>
      <c r="C201" s="3">
        <v>0.116666666666667</v>
      </c>
      <c r="D201" t="s">
        <v>314</v>
      </c>
      <c r="E201">
        <v>297.85</v>
      </c>
      <c r="F201" t="s">
        <v>31</v>
      </c>
      <c r="G201" t="s">
        <v>66</v>
      </c>
      <c r="H201" t="s">
        <v>4</v>
      </c>
      <c r="I201" t="s">
        <v>14</v>
      </c>
      <c r="J201" t="s">
        <v>24</v>
      </c>
      <c r="K201">
        <v>32</v>
      </c>
      <c r="L201" t="s">
        <v>49</v>
      </c>
      <c r="M201">
        <v>1</v>
      </c>
      <c r="N201">
        <f t="shared" si="15"/>
        <v>1</v>
      </c>
      <c r="P201" s="4">
        <f t="shared" si="12"/>
        <v>2</v>
      </c>
      <c r="Q201" s="4" t="str">
        <f t="shared" si="13"/>
        <v>Late Night</v>
      </c>
      <c r="R201" s="4" t="str">
        <f t="shared" si="14"/>
        <v>Low</v>
      </c>
    </row>
    <row r="202" spans="1:18">
      <c r="A202" t="s">
        <v>382</v>
      </c>
      <c r="B202" s="2">
        <v>46059</v>
      </c>
      <c r="C202" s="3">
        <v>0.685416666666667</v>
      </c>
      <c r="D202" t="s">
        <v>206</v>
      </c>
      <c r="E202">
        <v>32.64</v>
      </c>
      <c r="F202" t="s">
        <v>31</v>
      </c>
      <c r="G202" t="s">
        <v>54</v>
      </c>
      <c r="H202" t="s">
        <v>5</v>
      </c>
      <c r="I202" t="s">
        <v>15</v>
      </c>
      <c r="J202" t="s">
        <v>23</v>
      </c>
      <c r="K202">
        <v>47</v>
      </c>
      <c r="L202" t="s">
        <v>49</v>
      </c>
      <c r="M202">
        <v>0</v>
      </c>
      <c r="N202">
        <f t="shared" si="15"/>
        <v>1</v>
      </c>
      <c r="P202" s="4">
        <f t="shared" si="12"/>
        <v>16</v>
      </c>
      <c r="Q202" s="4" t="str">
        <f t="shared" si="13"/>
        <v>Late Night</v>
      </c>
      <c r="R202" s="4" t="str">
        <f t="shared" si="14"/>
        <v>Low</v>
      </c>
    </row>
    <row r="203" spans="1:18">
      <c r="A203" t="s">
        <v>383</v>
      </c>
      <c r="B203" s="2">
        <v>46059</v>
      </c>
      <c r="C203" s="3">
        <v>0.1875</v>
      </c>
      <c r="D203" t="s">
        <v>151</v>
      </c>
      <c r="E203">
        <v>212.05</v>
      </c>
      <c r="F203" t="s">
        <v>32</v>
      </c>
      <c r="G203" t="s">
        <v>48</v>
      </c>
      <c r="H203" t="s">
        <v>5</v>
      </c>
      <c r="I203" t="s">
        <v>16</v>
      </c>
      <c r="J203" t="s">
        <v>22</v>
      </c>
      <c r="K203">
        <v>61</v>
      </c>
      <c r="L203" t="s">
        <v>168</v>
      </c>
      <c r="M203">
        <v>1</v>
      </c>
      <c r="N203">
        <f t="shared" si="15"/>
        <v>1</v>
      </c>
      <c r="P203" s="4">
        <f t="shared" si="12"/>
        <v>4</v>
      </c>
      <c r="Q203" s="4" t="str">
        <f t="shared" si="13"/>
        <v>Late Night</v>
      </c>
      <c r="R203" s="4" t="str">
        <f t="shared" si="14"/>
        <v>Low</v>
      </c>
    </row>
    <row r="204" spans="1:18">
      <c r="A204" t="s">
        <v>384</v>
      </c>
      <c r="B204" s="2">
        <v>46059</v>
      </c>
      <c r="C204" s="3">
        <v>0.70625</v>
      </c>
      <c r="D204" t="s">
        <v>385</v>
      </c>
      <c r="E204">
        <v>24.89</v>
      </c>
      <c r="F204" t="s">
        <v>32</v>
      </c>
      <c r="G204" t="s">
        <v>71</v>
      </c>
      <c r="H204" t="s">
        <v>9</v>
      </c>
      <c r="I204" t="s">
        <v>15</v>
      </c>
      <c r="J204" t="s">
        <v>24</v>
      </c>
      <c r="K204">
        <v>34</v>
      </c>
      <c r="L204" t="s">
        <v>49</v>
      </c>
      <c r="M204">
        <v>0</v>
      </c>
      <c r="N204">
        <f t="shared" si="15"/>
        <v>1</v>
      </c>
      <c r="P204" s="4">
        <f t="shared" si="12"/>
        <v>16</v>
      </c>
      <c r="Q204" s="4" t="str">
        <f t="shared" si="13"/>
        <v>Late Night</v>
      </c>
      <c r="R204" s="4" t="str">
        <f t="shared" si="14"/>
        <v>Low</v>
      </c>
    </row>
    <row r="205" spans="1:18">
      <c r="A205" t="s">
        <v>386</v>
      </c>
      <c r="B205" s="2">
        <v>46059</v>
      </c>
      <c r="C205" s="3">
        <v>0.963888888888889</v>
      </c>
      <c r="D205" t="s">
        <v>129</v>
      </c>
      <c r="E205">
        <v>152.08</v>
      </c>
      <c r="F205" t="s">
        <v>31</v>
      </c>
      <c r="G205" t="s">
        <v>48</v>
      </c>
      <c r="H205" t="s">
        <v>8</v>
      </c>
      <c r="I205" t="s">
        <v>15</v>
      </c>
      <c r="J205" t="s">
        <v>20</v>
      </c>
      <c r="K205">
        <v>21</v>
      </c>
      <c r="L205" t="s">
        <v>49</v>
      </c>
      <c r="M205">
        <v>0</v>
      </c>
      <c r="N205">
        <f t="shared" si="15"/>
        <v>1</v>
      </c>
      <c r="P205" s="4">
        <f t="shared" si="12"/>
        <v>23</v>
      </c>
      <c r="Q205" s="4" t="str">
        <f t="shared" si="13"/>
        <v>Late Night</v>
      </c>
      <c r="R205" s="4" t="str">
        <f t="shared" si="14"/>
        <v>Low</v>
      </c>
    </row>
    <row r="206" spans="1:18">
      <c r="A206" t="s">
        <v>387</v>
      </c>
      <c r="B206" s="2">
        <v>46059</v>
      </c>
      <c r="C206" s="3">
        <v>0.703472222222222</v>
      </c>
      <c r="D206" t="s">
        <v>385</v>
      </c>
      <c r="E206">
        <v>350</v>
      </c>
      <c r="F206" t="s">
        <v>32</v>
      </c>
      <c r="G206" t="s">
        <v>71</v>
      </c>
      <c r="I206" t="s">
        <v>15</v>
      </c>
      <c r="J206" t="s">
        <v>18</v>
      </c>
      <c r="K206">
        <v>24</v>
      </c>
      <c r="L206" t="s">
        <v>49</v>
      </c>
      <c r="M206">
        <v>0</v>
      </c>
      <c r="N206">
        <f t="shared" si="15"/>
        <v>1</v>
      </c>
      <c r="O206" t="s">
        <v>43</v>
      </c>
      <c r="P206" s="4">
        <f t="shared" si="12"/>
        <v>16</v>
      </c>
      <c r="Q206" s="4" t="str">
        <f t="shared" si="13"/>
        <v>Late Night</v>
      </c>
      <c r="R206" s="4" t="str">
        <f t="shared" si="14"/>
        <v>Low</v>
      </c>
    </row>
    <row r="207" spans="1:18">
      <c r="A207" t="s">
        <v>388</v>
      </c>
      <c r="B207" s="2">
        <v>46059</v>
      </c>
      <c r="C207" s="3">
        <v>0.701388888888889</v>
      </c>
      <c r="D207" t="s">
        <v>158</v>
      </c>
      <c r="E207">
        <v>515.83</v>
      </c>
      <c r="F207" t="s">
        <v>29</v>
      </c>
      <c r="G207" t="s">
        <v>48</v>
      </c>
      <c r="H207" t="s">
        <v>6</v>
      </c>
      <c r="I207" t="s">
        <v>15</v>
      </c>
      <c r="J207" t="s">
        <v>19</v>
      </c>
      <c r="K207">
        <v>58</v>
      </c>
      <c r="L207" t="s">
        <v>49</v>
      </c>
      <c r="M207">
        <v>0</v>
      </c>
      <c r="N207">
        <f t="shared" si="15"/>
        <v>1</v>
      </c>
      <c r="P207" s="4">
        <f t="shared" si="12"/>
        <v>16</v>
      </c>
      <c r="Q207" s="4" t="str">
        <f t="shared" si="13"/>
        <v>Late Night</v>
      </c>
      <c r="R207" s="4" t="str">
        <f t="shared" si="14"/>
        <v>Low</v>
      </c>
    </row>
    <row r="208" spans="1:18">
      <c r="A208" t="s">
        <v>389</v>
      </c>
      <c r="B208" s="2">
        <v>46060</v>
      </c>
      <c r="C208" s="3">
        <v>0.0611111111111111</v>
      </c>
      <c r="D208" t="s">
        <v>390</v>
      </c>
      <c r="E208">
        <v>253.27</v>
      </c>
      <c r="F208" t="s">
        <v>30</v>
      </c>
      <c r="G208" t="s">
        <v>71</v>
      </c>
      <c r="H208" t="s">
        <v>10</v>
      </c>
      <c r="I208" t="s">
        <v>15</v>
      </c>
      <c r="J208" t="s">
        <v>19</v>
      </c>
      <c r="K208">
        <v>48</v>
      </c>
      <c r="L208" t="s">
        <v>168</v>
      </c>
      <c r="M208">
        <v>1</v>
      </c>
      <c r="N208">
        <f t="shared" si="15"/>
        <v>1</v>
      </c>
      <c r="P208" s="4">
        <f t="shared" si="12"/>
        <v>1</v>
      </c>
      <c r="Q208" s="4" t="str">
        <f t="shared" si="13"/>
        <v>Late Night</v>
      </c>
      <c r="R208" s="4" t="str">
        <f t="shared" si="14"/>
        <v>Low</v>
      </c>
    </row>
    <row r="209" spans="1:18">
      <c r="A209" t="s">
        <v>391</v>
      </c>
      <c r="B209" s="2">
        <v>46060</v>
      </c>
      <c r="C209" s="3">
        <v>0.0506944444444444</v>
      </c>
      <c r="D209" t="s">
        <v>392</v>
      </c>
      <c r="E209">
        <v>356.16</v>
      </c>
      <c r="F209" t="s">
        <v>28</v>
      </c>
      <c r="G209" t="s">
        <v>59</v>
      </c>
      <c r="H209" t="s">
        <v>8</v>
      </c>
      <c r="I209" t="s">
        <v>16</v>
      </c>
      <c r="J209" t="s">
        <v>22</v>
      </c>
      <c r="K209">
        <v>56</v>
      </c>
      <c r="L209" t="s">
        <v>85</v>
      </c>
      <c r="M209">
        <v>1</v>
      </c>
      <c r="N209">
        <f t="shared" si="15"/>
        <v>1</v>
      </c>
      <c r="P209" s="4">
        <f t="shared" si="12"/>
        <v>1</v>
      </c>
      <c r="Q209" s="4" t="str">
        <f t="shared" si="13"/>
        <v>Late Night</v>
      </c>
      <c r="R209" s="4" t="str">
        <f t="shared" si="14"/>
        <v>Low</v>
      </c>
    </row>
    <row r="210" spans="1:18">
      <c r="A210" t="s">
        <v>393</v>
      </c>
      <c r="B210" s="2">
        <v>46060</v>
      </c>
      <c r="C210" s="3">
        <v>0.902083333333333</v>
      </c>
      <c r="D210" t="s">
        <v>143</v>
      </c>
      <c r="E210">
        <v>134.42</v>
      </c>
      <c r="F210" t="s">
        <v>28</v>
      </c>
      <c r="G210" t="s">
        <v>66</v>
      </c>
      <c r="H210" t="s">
        <v>5</v>
      </c>
      <c r="I210" t="s">
        <v>15</v>
      </c>
      <c r="J210" t="s">
        <v>20</v>
      </c>
      <c r="K210">
        <v>51</v>
      </c>
      <c r="L210" t="s">
        <v>49</v>
      </c>
      <c r="M210">
        <v>0</v>
      </c>
      <c r="N210">
        <f t="shared" si="15"/>
        <v>1</v>
      </c>
      <c r="P210" s="4">
        <f t="shared" si="12"/>
        <v>21</v>
      </c>
      <c r="Q210" s="4" t="str">
        <f t="shared" si="13"/>
        <v>Late Night</v>
      </c>
      <c r="R210" s="4" t="str">
        <f t="shared" si="14"/>
        <v>Low</v>
      </c>
    </row>
    <row r="211" spans="1:18">
      <c r="A211" t="s">
        <v>394</v>
      </c>
      <c r="B211" s="2">
        <v>46060</v>
      </c>
      <c r="C211" s="3">
        <v>0.944444444444444</v>
      </c>
      <c r="D211" t="s">
        <v>395</v>
      </c>
      <c r="E211">
        <v>108.94</v>
      </c>
      <c r="F211" t="s">
        <v>28</v>
      </c>
      <c r="G211" t="s">
        <v>71</v>
      </c>
      <c r="H211" t="s">
        <v>7</v>
      </c>
      <c r="I211" t="s">
        <v>15</v>
      </c>
      <c r="J211" t="s">
        <v>19</v>
      </c>
      <c r="K211">
        <v>23</v>
      </c>
      <c r="L211" t="s">
        <v>49</v>
      </c>
      <c r="M211">
        <v>0</v>
      </c>
      <c r="N211">
        <f t="shared" si="15"/>
        <v>1</v>
      </c>
      <c r="P211" s="4">
        <f t="shared" si="12"/>
        <v>22</v>
      </c>
      <c r="Q211" s="4" t="str">
        <f t="shared" si="13"/>
        <v>Late Night</v>
      </c>
      <c r="R211" s="4" t="str">
        <f t="shared" si="14"/>
        <v>Low</v>
      </c>
    </row>
    <row r="212" spans="1:18">
      <c r="A212" t="s">
        <v>396</v>
      </c>
      <c r="B212" s="2">
        <v>46060</v>
      </c>
      <c r="C212" s="3">
        <v>0.18125</v>
      </c>
      <c r="D212" t="s">
        <v>95</v>
      </c>
      <c r="E212">
        <v>2677.82</v>
      </c>
      <c r="F212" t="s">
        <v>29</v>
      </c>
      <c r="G212" t="s">
        <v>48</v>
      </c>
      <c r="H212" t="s">
        <v>4</v>
      </c>
      <c r="I212" t="s">
        <v>15</v>
      </c>
      <c r="J212" t="s">
        <v>19</v>
      </c>
      <c r="K212">
        <v>55</v>
      </c>
      <c r="L212" t="s">
        <v>49</v>
      </c>
      <c r="M212">
        <v>0</v>
      </c>
      <c r="N212">
        <f t="shared" si="15"/>
        <v>1</v>
      </c>
      <c r="P212" s="4">
        <f t="shared" si="12"/>
        <v>4</v>
      </c>
      <c r="Q212" s="4" t="str">
        <f t="shared" si="13"/>
        <v>Late Night</v>
      </c>
      <c r="R212" s="4" t="str">
        <f t="shared" si="14"/>
        <v>Medium</v>
      </c>
    </row>
    <row r="213" spans="1:18">
      <c r="A213" t="s">
        <v>397</v>
      </c>
      <c r="B213" s="2">
        <v>46061</v>
      </c>
      <c r="C213" s="3">
        <v>0.00694444444444444</v>
      </c>
      <c r="D213" t="s">
        <v>284</v>
      </c>
      <c r="E213">
        <v>414.54</v>
      </c>
      <c r="F213" t="s">
        <v>31</v>
      </c>
      <c r="G213" t="s">
        <v>71</v>
      </c>
      <c r="H213" t="s">
        <v>3</v>
      </c>
      <c r="I213" t="s">
        <v>15</v>
      </c>
      <c r="J213" t="s">
        <v>21</v>
      </c>
      <c r="K213">
        <v>62</v>
      </c>
      <c r="L213" t="s">
        <v>49</v>
      </c>
      <c r="M213">
        <v>0</v>
      </c>
      <c r="N213">
        <f t="shared" si="15"/>
        <v>1</v>
      </c>
      <c r="P213" s="4">
        <f t="shared" si="12"/>
        <v>0</v>
      </c>
      <c r="Q213" s="4" t="str">
        <f t="shared" si="13"/>
        <v>Late Night</v>
      </c>
      <c r="R213" s="4" t="str">
        <f t="shared" si="14"/>
        <v>Low</v>
      </c>
    </row>
    <row r="214" spans="1:18">
      <c r="A214" t="s">
        <v>398</v>
      </c>
      <c r="B214" s="2">
        <v>46061</v>
      </c>
      <c r="C214" s="3">
        <v>0.0152777777777778</v>
      </c>
      <c r="D214" t="s">
        <v>210</v>
      </c>
      <c r="E214">
        <v>56.09</v>
      </c>
      <c r="F214" t="s">
        <v>31</v>
      </c>
      <c r="G214" t="s">
        <v>54</v>
      </c>
      <c r="H214" t="s">
        <v>9</v>
      </c>
      <c r="I214" t="s">
        <v>15</v>
      </c>
      <c r="J214" t="s">
        <v>23</v>
      </c>
      <c r="K214">
        <v>51</v>
      </c>
      <c r="L214" t="s">
        <v>49</v>
      </c>
      <c r="M214">
        <v>0</v>
      </c>
      <c r="N214">
        <f t="shared" si="15"/>
        <v>1</v>
      </c>
      <c r="P214" s="4">
        <f t="shared" si="12"/>
        <v>0</v>
      </c>
      <c r="Q214" s="4" t="str">
        <f t="shared" si="13"/>
        <v>Late Night</v>
      </c>
      <c r="R214" s="4" t="str">
        <f t="shared" si="14"/>
        <v>Low</v>
      </c>
    </row>
    <row r="215" spans="1:18">
      <c r="A215" t="s">
        <v>399</v>
      </c>
      <c r="B215" s="2">
        <v>46061</v>
      </c>
      <c r="C215" s="3">
        <v>0.75</v>
      </c>
      <c r="D215" t="s">
        <v>314</v>
      </c>
      <c r="E215">
        <v>31.99</v>
      </c>
      <c r="F215" t="s">
        <v>31</v>
      </c>
      <c r="G215" t="s">
        <v>54</v>
      </c>
      <c r="H215" t="s">
        <v>3</v>
      </c>
      <c r="I215" t="s">
        <v>15</v>
      </c>
      <c r="J215" t="s">
        <v>22</v>
      </c>
      <c r="K215">
        <v>61</v>
      </c>
      <c r="L215" t="s">
        <v>49</v>
      </c>
      <c r="M215">
        <v>0</v>
      </c>
      <c r="N215">
        <f t="shared" si="15"/>
        <v>1</v>
      </c>
      <c r="P215" s="4">
        <f t="shared" si="12"/>
        <v>18</v>
      </c>
      <c r="Q215" s="4" t="str">
        <f t="shared" si="13"/>
        <v>Late Night</v>
      </c>
      <c r="R215" s="4" t="str">
        <f t="shared" si="14"/>
        <v>Low</v>
      </c>
    </row>
    <row r="216" spans="1:18">
      <c r="A216" t="s">
        <v>400</v>
      </c>
      <c r="B216" s="2">
        <v>46061</v>
      </c>
      <c r="C216" s="3">
        <v>0.0729166666666667</v>
      </c>
      <c r="D216" t="s">
        <v>75</v>
      </c>
      <c r="E216">
        <v>113.86</v>
      </c>
      <c r="F216" t="s">
        <v>29</v>
      </c>
      <c r="G216" t="s">
        <v>54</v>
      </c>
      <c r="H216" t="s">
        <v>8</v>
      </c>
      <c r="I216" t="s">
        <v>15</v>
      </c>
      <c r="J216" t="s">
        <v>18</v>
      </c>
      <c r="K216">
        <v>32</v>
      </c>
      <c r="L216" t="s">
        <v>49</v>
      </c>
      <c r="M216">
        <v>0</v>
      </c>
      <c r="N216">
        <f t="shared" si="15"/>
        <v>1</v>
      </c>
      <c r="P216" s="4">
        <f t="shared" si="12"/>
        <v>1</v>
      </c>
      <c r="Q216" s="4" t="str">
        <f t="shared" si="13"/>
        <v>Late Night</v>
      </c>
      <c r="R216" s="4" t="str">
        <f t="shared" si="14"/>
        <v>Low</v>
      </c>
    </row>
    <row r="217" spans="1:18">
      <c r="A217" t="s">
        <v>401</v>
      </c>
      <c r="B217" s="2">
        <v>46061</v>
      </c>
      <c r="C217" s="3">
        <v>0.858333333333333</v>
      </c>
      <c r="D217" t="s">
        <v>266</v>
      </c>
      <c r="E217">
        <v>596.97</v>
      </c>
      <c r="F217" t="s">
        <v>31</v>
      </c>
      <c r="G217" t="s">
        <v>59</v>
      </c>
      <c r="H217" t="s">
        <v>7</v>
      </c>
      <c r="I217" t="s">
        <v>15</v>
      </c>
      <c r="J217" t="s">
        <v>19</v>
      </c>
      <c r="K217">
        <v>31</v>
      </c>
      <c r="L217" t="s">
        <v>49</v>
      </c>
      <c r="M217">
        <v>0</v>
      </c>
      <c r="N217">
        <f t="shared" si="15"/>
        <v>1</v>
      </c>
      <c r="P217" s="4">
        <f t="shared" si="12"/>
        <v>20</v>
      </c>
      <c r="Q217" s="4" t="str">
        <f t="shared" si="13"/>
        <v>Late Night</v>
      </c>
      <c r="R217" s="4" t="str">
        <f t="shared" si="14"/>
        <v>Low</v>
      </c>
    </row>
    <row r="218" spans="1:18">
      <c r="A218" t="s">
        <v>402</v>
      </c>
      <c r="B218" s="2">
        <v>46061</v>
      </c>
      <c r="C218" s="3">
        <v>0.472222222222222</v>
      </c>
      <c r="D218" t="s">
        <v>241</v>
      </c>
      <c r="E218">
        <v>190.33</v>
      </c>
      <c r="F218" t="s">
        <v>29</v>
      </c>
      <c r="G218" t="s">
        <v>48</v>
      </c>
      <c r="H218" t="s">
        <v>9</v>
      </c>
      <c r="I218" t="s">
        <v>15</v>
      </c>
      <c r="J218" t="s">
        <v>21</v>
      </c>
      <c r="K218">
        <v>23</v>
      </c>
      <c r="L218" t="s">
        <v>49</v>
      </c>
      <c r="M218">
        <v>0</v>
      </c>
      <c r="N218">
        <f t="shared" si="15"/>
        <v>1</v>
      </c>
      <c r="P218" s="4">
        <f t="shared" si="12"/>
        <v>11</v>
      </c>
      <c r="Q218" s="4" t="str">
        <f t="shared" si="13"/>
        <v>Late Night</v>
      </c>
      <c r="R218" s="4" t="str">
        <f t="shared" si="14"/>
        <v>Low</v>
      </c>
    </row>
    <row r="219" spans="1:18">
      <c r="A219" t="s">
        <v>403</v>
      </c>
      <c r="B219" s="2">
        <v>46062</v>
      </c>
      <c r="C219" s="3">
        <v>0.225694444444444</v>
      </c>
      <c r="D219" t="s">
        <v>190</v>
      </c>
      <c r="E219">
        <v>20</v>
      </c>
      <c r="F219" t="s">
        <v>32</v>
      </c>
      <c r="G219" t="s">
        <v>59</v>
      </c>
      <c r="H219" t="s">
        <v>3</v>
      </c>
      <c r="I219" t="s">
        <v>14</v>
      </c>
      <c r="J219" t="s">
        <v>20</v>
      </c>
      <c r="K219">
        <v>54</v>
      </c>
      <c r="L219" t="s">
        <v>168</v>
      </c>
      <c r="M219">
        <v>1</v>
      </c>
      <c r="N219">
        <f t="shared" si="15"/>
        <v>1</v>
      </c>
      <c r="P219" s="4">
        <f t="shared" si="12"/>
        <v>5</v>
      </c>
      <c r="Q219" s="4" t="str">
        <f t="shared" si="13"/>
        <v>Late Night</v>
      </c>
      <c r="R219" s="4" t="str">
        <f t="shared" si="14"/>
        <v>Low</v>
      </c>
    </row>
    <row r="220" spans="1:18">
      <c r="A220" t="s">
        <v>404</v>
      </c>
      <c r="B220" s="2">
        <v>46062</v>
      </c>
      <c r="C220" s="3">
        <v>0.947916666666667</v>
      </c>
      <c r="D220" t="s">
        <v>241</v>
      </c>
      <c r="E220">
        <v>151.82</v>
      </c>
      <c r="F220" t="s">
        <v>31</v>
      </c>
      <c r="G220" t="s">
        <v>59</v>
      </c>
      <c r="H220" t="s">
        <v>10</v>
      </c>
      <c r="I220" t="s">
        <v>14</v>
      </c>
      <c r="J220" t="s">
        <v>19</v>
      </c>
      <c r="K220">
        <v>49</v>
      </c>
      <c r="L220" t="s">
        <v>49</v>
      </c>
      <c r="M220">
        <v>0</v>
      </c>
      <c r="N220">
        <f t="shared" si="15"/>
        <v>1</v>
      </c>
      <c r="P220" s="4">
        <f t="shared" si="12"/>
        <v>22</v>
      </c>
      <c r="Q220" s="4" t="str">
        <f t="shared" si="13"/>
        <v>Late Night</v>
      </c>
      <c r="R220" s="4" t="str">
        <f t="shared" si="14"/>
        <v>Low</v>
      </c>
    </row>
    <row r="221" spans="1:18">
      <c r="A221" t="s">
        <v>405</v>
      </c>
      <c r="B221" s="2">
        <v>46062</v>
      </c>
      <c r="C221" s="3">
        <v>0.149305555555556</v>
      </c>
      <c r="D221" t="s">
        <v>406</v>
      </c>
      <c r="E221">
        <v>180.84</v>
      </c>
      <c r="F221" t="s">
        <v>29</v>
      </c>
      <c r="G221" t="s">
        <v>66</v>
      </c>
      <c r="H221" t="s">
        <v>7</v>
      </c>
      <c r="I221" t="s">
        <v>15</v>
      </c>
      <c r="J221" t="s">
        <v>23</v>
      </c>
      <c r="K221">
        <v>20</v>
      </c>
      <c r="L221" t="s">
        <v>49</v>
      </c>
      <c r="M221">
        <v>0</v>
      </c>
      <c r="N221">
        <f t="shared" si="15"/>
        <v>1</v>
      </c>
      <c r="P221" s="4">
        <f t="shared" si="12"/>
        <v>3</v>
      </c>
      <c r="Q221" s="4" t="str">
        <f t="shared" si="13"/>
        <v>Late Night</v>
      </c>
      <c r="R221" s="4" t="str">
        <f t="shared" si="14"/>
        <v>Low</v>
      </c>
    </row>
    <row r="222" spans="1:18">
      <c r="A222" t="s">
        <v>407</v>
      </c>
      <c r="B222" s="2">
        <v>46062</v>
      </c>
      <c r="C222" s="3">
        <v>0.953472222222222</v>
      </c>
      <c r="D222" t="s">
        <v>408</v>
      </c>
      <c r="E222">
        <v>20</v>
      </c>
      <c r="F222" t="s">
        <v>28</v>
      </c>
      <c r="G222" t="s">
        <v>66</v>
      </c>
      <c r="H222" t="s">
        <v>4</v>
      </c>
      <c r="I222" t="s">
        <v>15</v>
      </c>
      <c r="J222" t="s">
        <v>18</v>
      </c>
      <c r="K222">
        <v>20</v>
      </c>
      <c r="L222" t="s">
        <v>49</v>
      </c>
      <c r="M222">
        <v>0</v>
      </c>
      <c r="N222">
        <f t="shared" si="15"/>
        <v>1</v>
      </c>
      <c r="P222" s="4">
        <f t="shared" si="12"/>
        <v>22</v>
      </c>
      <c r="Q222" s="4" t="str">
        <f t="shared" si="13"/>
        <v>Late Night</v>
      </c>
      <c r="R222" s="4" t="str">
        <f t="shared" si="14"/>
        <v>Low</v>
      </c>
    </row>
    <row r="223" spans="1:18">
      <c r="A223" t="s">
        <v>409</v>
      </c>
      <c r="B223" s="2">
        <v>46062</v>
      </c>
      <c r="C223" s="3">
        <v>0.431944444444444</v>
      </c>
      <c r="D223" t="s">
        <v>410</v>
      </c>
      <c r="E223">
        <v>185.71</v>
      </c>
      <c r="F223" t="s">
        <v>30</v>
      </c>
      <c r="G223" t="s">
        <v>54</v>
      </c>
      <c r="H223" t="s">
        <v>10</v>
      </c>
      <c r="I223" t="s">
        <v>15</v>
      </c>
      <c r="J223" t="s">
        <v>20</v>
      </c>
      <c r="K223">
        <v>39</v>
      </c>
      <c r="L223" t="s">
        <v>159</v>
      </c>
      <c r="M223">
        <v>0</v>
      </c>
      <c r="N223">
        <f t="shared" si="15"/>
        <v>1</v>
      </c>
      <c r="P223" s="4">
        <f t="shared" si="12"/>
        <v>10</v>
      </c>
      <c r="Q223" s="4" t="str">
        <f t="shared" si="13"/>
        <v>Late Night</v>
      </c>
      <c r="R223" s="4" t="str">
        <f t="shared" si="14"/>
        <v>Low</v>
      </c>
    </row>
    <row r="224" spans="1:18">
      <c r="A224" t="s">
        <v>411</v>
      </c>
      <c r="B224" s="2">
        <v>46063</v>
      </c>
      <c r="C224" s="3">
        <v>0.997222222222222</v>
      </c>
      <c r="D224" t="s">
        <v>201</v>
      </c>
      <c r="E224">
        <v>65.8</v>
      </c>
      <c r="F224" t="s">
        <v>31</v>
      </c>
      <c r="G224" t="s">
        <v>48</v>
      </c>
      <c r="H224" t="s">
        <v>7</v>
      </c>
      <c r="I224" t="s">
        <v>15</v>
      </c>
      <c r="J224" t="s">
        <v>20</v>
      </c>
      <c r="K224">
        <v>39</v>
      </c>
      <c r="L224" t="s">
        <v>49</v>
      </c>
      <c r="M224">
        <v>0</v>
      </c>
      <c r="N224">
        <f t="shared" si="15"/>
        <v>1</v>
      </c>
      <c r="P224" s="4">
        <f t="shared" si="12"/>
        <v>23</v>
      </c>
      <c r="Q224" s="4" t="str">
        <f t="shared" si="13"/>
        <v>Late Night</v>
      </c>
      <c r="R224" s="4" t="str">
        <f t="shared" si="14"/>
        <v>Low</v>
      </c>
    </row>
    <row r="225" spans="1:18">
      <c r="A225" t="s">
        <v>412</v>
      </c>
      <c r="B225" s="2">
        <v>46063</v>
      </c>
      <c r="C225" s="3">
        <v>0.666666666666667</v>
      </c>
      <c r="D225" t="s">
        <v>221</v>
      </c>
      <c r="E225">
        <v>28.92</v>
      </c>
      <c r="F225" t="s">
        <v>29</v>
      </c>
      <c r="G225" t="s">
        <v>48</v>
      </c>
      <c r="H225" t="s">
        <v>6</v>
      </c>
      <c r="I225" t="s">
        <v>15</v>
      </c>
      <c r="J225" t="s">
        <v>22</v>
      </c>
      <c r="K225">
        <v>27</v>
      </c>
      <c r="L225" t="s">
        <v>159</v>
      </c>
      <c r="M225">
        <v>0</v>
      </c>
      <c r="N225">
        <f t="shared" si="15"/>
        <v>1</v>
      </c>
      <c r="P225" s="4">
        <f t="shared" si="12"/>
        <v>16</v>
      </c>
      <c r="Q225" s="4" t="str">
        <f t="shared" si="13"/>
        <v>Late Night</v>
      </c>
      <c r="R225" s="4" t="str">
        <f t="shared" si="14"/>
        <v>Low</v>
      </c>
    </row>
    <row r="226" spans="1:18">
      <c r="A226" t="s">
        <v>413</v>
      </c>
      <c r="B226" s="2">
        <v>46063</v>
      </c>
      <c r="C226" s="3">
        <v>0.245138888888889</v>
      </c>
      <c r="D226" t="s">
        <v>414</v>
      </c>
      <c r="E226">
        <v>901.9</v>
      </c>
      <c r="F226" t="s">
        <v>30</v>
      </c>
      <c r="G226" t="s">
        <v>48</v>
      </c>
      <c r="H226" t="s">
        <v>9</v>
      </c>
      <c r="I226" t="s">
        <v>15</v>
      </c>
      <c r="J226" t="s">
        <v>19</v>
      </c>
      <c r="K226">
        <v>20</v>
      </c>
      <c r="L226" t="s">
        <v>49</v>
      </c>
      <c r="M226">
        <v>0</v>
      </c>
      <c r="N226">
        <f t="shared" si="15"/>
        <v>1</v>
      </c>
      <c r="P226" s="4">
        <f t="shared" si="12"/>
        <v>5</v>
      </c>
      <c r="Q226" s="4" t="str">
        <f t="shared" si="13"/>
        <v>Late Night</v>
      </c>
      <c r="R226" s="4" t="str">
        <f t="shared" si="14"/>
        <v>Low</v>
      </c>
    </row>
    <row r="227" spans="1:18">
      <c r="A227" t="s">
        <v>415</v>
      </c>
      <c r="B227" s="2">
        <v>46063</v>
      </c>
      <c r="C227" s="3">
        <v>0.995833333333333</v>
      </c>
      <c r="D227" t="s">
        <v>321</v>
      </c>
      <c r="E227">
        <v>62.95</v>
      </c>
      <c r="F227" t="s">
        <v>32</v>
      </c>
      <c r="G227" t="s">
        <v>48</v>
      </c>
      <c r="H227" t="s">
        <v>5</v>
      </c>
      <c r="I227" t="s">
        <v>15</v>
      </c>
      <c r="J227" t="s">
        <v>22</v>
      </c>
      <c r="K227">
        <v>29</v>
      </c>
      <c r="L227" t="s">
        <v>49</v>
      </c>
      <c r="M227">
        <v>0</v>
      </c>
      <c r="N227">
        <f t="shared" si="15"/>
        <v>1</v>
      </c>
      <c r="P227" s="4">
        <f t="shared" si="12"/>
        <v>23</v>
      </c>
      <c r="Q227" s="4" t="str">
        <f t="shared" si="13"/>
        <v>Late Night</v>
      </c>
      <c r="R227" s="4" t="str">
        <f t="shared" si="14"/>
        <v>Low</v>
      </c>
    </row>
    <row r="228" spans="1:18">
      <c r="A228" t="s">
        <v>416</v>
      </c>
      <c r="B228" s="2">
        <v>46063</v>
      </c>
      <c r="C228" s="3">
        <v>0.201388888888889</v>
      </c>
      <c r="D228" t="s">
        <v>331</v>
      </c>
      <c r="E228">
        <v>93.01</v>
      </c>
      <c r="F228" t="s">
        <v>29</v>
      </c>
      <c r="G228" t="s">
        <v>54</v>
      </c>
      <c r="H228" t="s">
        <v>4</v>
      </c>
      <c r="I228" t="s">
        <v>15</v>
      </c>
      <c r="J228" t="s">
        <v>18</v>
      </c>
      <c r="K228">
        <v>46</v>
      </c>
      <c r="L228" t="s">
        <v>49</v>
      </c>
      <c r="M228">
        <v>0</v>
      </c>
      <c r="N228">
        <f t="shared" si="15"/>
        <v>1</v>
      </c>
      <c r="P228" s="4">
        <f t="shared" si="12"/>
        <v>4</v>
      </c>
      <c r="Q228" s="4" t="str">
        <f t="shared" si="13"/>
        <v>Late Night</v>
      </c>
      <c r="R228" s="4" t="str">
        <f t="shared" si="14"/>
        <v>Low</v>
      </c>
    </row>
    <row r="229" spans="1:18">
      <c r="A229" t="s">
        <v>417</v>
      </c>
      <c r="B229" s="2">
        <v>46063</v>
      </c>
      <c r="C229" s="3">
        <v>0.81875</v>
      </c>
      <c r="D229" t="s">
        <v>61</v>
      </c>
      <c r="E229">
        <v>91.78</v>
      </c>
      <c r="F229" t="s">
        <v>28</v>
      </c>
      <c r="G229" t="s">
        <v>48</v>
      </c>
      <c r="H229" t="s">
        <v>8</v>
      </c>
      <c r="I229" t="s">
        <v>15</v>
      </c>
      <c r="J229" t="s">
        <v>19</v>
      </c>
      <c r="K229">
        <v>65</v>
      </c>
      <c r="L229" t="s">
        <v>49</v>
      </c>
      <c r="M229">
        <v>0</v>
      </c>
      <c r="N229">
        <f t="shared" si="15"/>
        <v>1</v>
      </c>
      <c r="P229" s="4">
        <f t="shared" si="12"/>
        <v>19</v>
      </c>
      <c r="Q229" s="4" t="str">
        <f t="shared" si="13"/>
        <v>Late Night</v>
      </c>
      <c r="R229" s="4" t="str">
        <f t="shared" si="14"/>
        <v>Low</v>
      </c>
    </row>
    <row r="230" spans="1:18">
      <c r="A230" t="s">
        <v>418</v>
      </c>
      <c r="B230" s="2">
        <v>46064</v>
      </c>
      <c r="C230" s="3">
        <v>0.0513888888888889</v>
      </c>
      <c r="D230" t="s">
        <v>392</v>
      </c>
      <c r="E230">
        <v>181.68</v>
      </c>
      <c r="F230" t="s">
        <v>29</v>
      </c>
      <c r="G230" t="s">
        <v>71</v>
      </c>
      <c r="H230" t="s">
        <v>10</v>
      </c>
      <c r="I230" t="s">
        <v>14</v>
      </c>
      <c r="J230" t="s">
        <v>24</v>
      </c>
      <c r="K230">
        <v>34</v>
      </c>
      <c r="L230" t="s">
        <v>85</v>
      </c>
      <c r="M230">
        <v>1</v>
      </c>
      <c r="N230">
        <f t="shared" si="15"/>
        <v>1</v>
      </c>
      <c r="P230" s="4">
        <f t="shared" si="12"/>
        <v>1</v>
      </c>
      <c r="Q230" s="4" t="str">
        <f t="shared" si="13"/>
        <v>Late Night</v>
      </c>
      <c r="R230" s="4" t="str">
        <f t="shared" si="14"/>
        <v>Low</v>
      </c>
    </row>
    <row r="231" spans="1:18">
      <c r="A231" t="s">
        <v>419</v>
      </c>
      <c r="B231" s="2">
        <v>46064</v>
      </c>
      <c r="C231" s="3">
        <v>0.222222222222222</v>
      </c>
      <c r="D231" t="s">
        <v>420</v>
      </c>
      <c r="E231">
        <v>1060.3</v>
      </c>
      <c r="F231" t="s">
        <v>30</v>
      </c>
      <c r="G231" t="s">
        <v>59</v>
      </c>
      <c r="H231" t="s">
        <v>10</v>
      </c>
      <c r="I231" t="s">
        <v>16</v>
      </c>
      <c r="J231" t="s">
        <v>19</v>
      </c>
      <c r="K231">
        <v>24</v>
      </c>
      <c r="L231" t="s">
        <v>49</v>
      </c>
      <c r="M231">
        <v>0</v>
      </c>
      <c r="N231">
        <f t="shared" si="15"/>
        <v>1</v>
      </c>
      <c r="P231" s="4">
        <f t="shared" si="12"/>
        <v>5</v>
      </c>
      <c r="Q231" s="4" t="str">
        <f t="shared" si="13"/>
        <v>Late Night</v>
      </c>
      <c r="R231" s="4" t="str">
        <f t="shared" si="14"/>
        <v>Medium</v>
      </c>
    </row>
    <row r="232" spans="1:18">
      <c r="A232" t="s">
        <v>421</v>
      </c>
      <c r="B232" s="2">
        <v>46064</v>
      </c>
      <c r="C232" s="3">
        <v>0.906944444444444</v>
      </c>
      <c r="D232" t="s">
        <v>82</v>
      </c>
      <c r="E232">
        <v>54.81</v>
      </c>
      <c r="F232" t="s">
        <v>28</v>
      </c>
      <c r="G232" t="s">
        <v>54</v>
      </c>
      <c r="H232" t="s">
        <v>3</v>
      </c>
      <c r="I232" t="s">
        <v>15</v>
      </c>
      <c r="J232" t="s">
        <v>24</v>
      </c>
      <c r="K232">
        <v>30</v>
      </c>
      <c r="L232" t="s">
        <v>49</v>
      </c>
      <c r="M232">
        <v>0</v>
      </c>
      <c r="N232">
        <f t="shared" si="15"/>
        <v>1</v>
      </c>
      <c r="P232" s="4">
        <f t="shared" si="12"/>
        <v>21</v>
      </c>
      <c r="Q232" s="4" t="str">
        <f t="shared" si="13"/>
        <v>Late Night</v>
      </c>
      <c r="R232" s="4" t="str">
        <f t="shared" si="14"/>
        <v>Low</v>
      </c>
    </row>
    <row r="233" spans="1:18">
      <c r="A233" t="s">
        <v>422</v>
      </c>
      <c r="B233" s="2">
        <v>46064</v>
      </c>
      <c r="C233" s="3">
        <v>0.422222222222222</v>
      </c>
      <c r="D233" t="s">
        <v>53</v>
      </c>
      <c r="E233">
        <v>133.38</v>
      </c>
      <c r="F233" t="s">
        <v>31</v>
      </c>
      <c r="G233" t="s">
        <v>59</v>
      </c>
      <c r="H233" t="s">
        <v>9</v>
      </c>
      <c r="I233" t="s">
        <v>15</v>
      </c>
      <c r="J233" t="s">
        <v>20</v>
      </c>
      <c r="K233">
        <v>19</v>
      </c>
      <c r="L233" t="s">
        <v>159</v>
      </c>
      <c r="M233">
        <v>0</v>
      </c>
      <c r="N233">
        <f t="shared" si="15"/>
        <v>1</v>
      </c>
      <c r="P233" s="4">
        <f t="shared" si="12"/>
        <v>10</v>
      </c>
      <c r="Q233" s="4" t="str">
        <f t="shared" si="13"/>
        <v>Late Night</v>
      </c>
      <c r="R233" s="4" t="str">
        <f t="shared" si="14"/>
        <v>Low</v>
      </c>
    </row>
    <row r="234" spans="1:18">
      <c r="A234" t="s">
        <v>423</v>
      </c>
      <c r="B234" s="2">
        <v>46064</v>
      </c>
      <c r="C234" s="3">
        <v>0.661111111111111</v>
      </c>
      <c r="D234" t="s">
        <v>424</v>
      </c>
      <c r="E234">
        <v>204.56</v>
      </c>
      <c r="F234" t="s">
        <v>32</v>
      </c>
      <c r="G234" t="s">
        <v>48</v>
      </c>
      <c r="H234" t="s">
        <v>8</v>
      </c>
      <c r="I234" t="s">
        <v>14</v>
      </c>
      <c r="J234" t="s">
        <v>22</v>
      </c>
      <c r="K234">
        <v>21</v>
      </c>
      <c r="L234" t="s">
        <v>49</v>
      </c>
      <c r="M234">
        <v>0</v>
      </c>
      <c r="N234">
        <f t="shared" si="15"/>
        <v>1</v>
      </c>
      <c r="P234" s="4">
        <f t="shared" si="12"/>
        <v>15</v>
      </c>
      <c r="Q234" s="4" t="str">
        <f t="shared" si="13"/>
        <v>Late Night</v>
      </c>
      <c r="R234" s="4" t="str">
        <f t="shared" si="14"/>
        <v>Low</v>
      </c>
    </row>
    <row r="235" spans="1:18">
      <c r="A235" t="s">
        <v>425</v>
      </c>
      <c r="B235" s="2">
        <v>46064</v>
      </c>
      <c r="C235" s="3">
        <v>0.630555555555556</v>
      </c>
      <c r="D235" t="s">
        <v>368</v>
      </c>
      <c r="E235">
        <v>76.04</v>
      </c>
      <c r="F235" t="s">
        <v>29</v>
      </c>
      <c r="G235" t="s">
        <v>54</v>
      </c>
      <c r="H235" t="s">
        <v>5</v>
      </c>
      <c r="I235" t="s">
        <v>16</v>
      </c>
      <c r="J235" t="s">
        <v>23</v>
      </c>
      <c r="K235">
        <v>27</v>
      </c>
      <c r="L235" t="s">
        <v>49</v>
      </c>
      <c r="M235">
        <v>0</v>
      </c>
      <c r="N235">
        <f t="shared" si="15"/>
        <v>1</v>
      </c>
      <c r="P235" s="4">
        <f t="shared" si="12"/>
        <v>15</v>
      </c>
      <c r="Q235" s="4" t="str">
        <f t="shared" si="13"/>
        <v>Late Night</v>
      </c>
      <c r="R235" s="4" t="str">
        <f t="shared" si="14"/>
        <v>Low</v>
      </c>
    </row>
    <row r="236" spans="1:18">
      <c r="A236" t="s">
        <v>426</v>
      </c>
      <c r="B236" s="2">
        <v>46065</v>
      </c>
      <c r="C236" s="3">
        <v>0.00625</v>
      </c>
      <c r="D236" t="s">
        <v>427</v>
      </c>
      <c r="E236">
        <v>131.25</v>
      </c>
      <c r="F236" t="s">
        <v>29</v>
      </c>
      <c r="G236" t="s">
        <v>59</v>
      </c>
      <c r="H236" t="s">
        <v>7</v>
      </c>
      <c r="I236" t="s">
        <v>15</v>
      </c>
      <c r="J236" t="s">
        <v>19</v>
      </c>
      <c r="K236">
        <v>56</v>
      </c>
      <c r="L236" t="s">
        <v>168</v>
      </c>
      <c r="M236">
        <v>1</v>
      </c>
      <c r="N236">
        <f t="shared" si="15"/>
        <v>1</v>
      </c>
      <c r="P236" s="4">
        <f t="shared" si="12"/>
        <v>0</v>
      </c>
      <c r="Q236" s="4" t="str">
        <f t="shared" si="13"/>
        <v>Late Night</v>
      </c>
      <c r="R236" s="4" t="str">
        <f t="shared" si="14"/>
        <v>Low</v>
      </c>
    </row>
    <row r="237" spans="1:18">
      <c r="A237" t="s">
        <v>428</v>
      </c>
      <c r="B237" s="2">
        <v>46065</v>
      </c>
      <c r="C237" s="3">
        <v>0.36875</v>
      </c>
      <c r="D237" t="s">
        <v>141</v>
      </c>
      <c r="E237">
        <v>328.49</v>
      </c>
      <c r="F237" t="s">
        <v>31</v>
      </c>
      <c r="G237" t="s">
        <v>54</v>
      </c>
      <c r="H237" t="s">
        <v>5</v>
      </c>
      <c r="I237" t="s">
        <v>15</v>
      </c>
      <c r="J237" t="s">
        <v>23</v>
      </c>
      <c r="K237">
        <v>41</v>
      </c>
      <c r="L237" t="s">
        <v>85</v>
      </c>
      <c r="M237">
        <v>1</v>
      </c>
      <c r="N237">
        <f t="shared" si="15"/>
        <v>1</v>
      </c>
      <c r="P237" s="4">
        <f t="shared" si="12"/>
        <v>8</v>
      </c>
      <c r="Q237" s="4" t="str">
        <f t="shared" si="13"/>
        <v>Late Night</v>
      </c>
      <c r="R237" s="4" t="str">
        <f t="shared" si="14"/>
        <v>Low</v>
      </c>
    </row>
    <row r="238" spans="1:18">
      <c r="A238" t="s">
        <v>429</v>
      </c>
      <c r="B238" s="2">
        <v>46065</v>
      </c>
      <c r="C238" s="3">
        <v>0.247222222222222</v>
      </c>
      <c r="D238" t="s">
        <v>430</v>
      </c>
      <c r="E238">
        <v>85.14</v>
      </c>
      <c r="F238" t="s">
        <v>29</v>
      </c>
      <c r="G238" t="s">
        <v>54</v>
      </c>
      <c r="H238" t="s">
        <v>9</v>
      </c>
      <c r="I238" t="s">
        <v>15</v>
      </c>
      <c r="J238" t="s">
        <v>19</v>
      </c>
      <c r="K238">
        <v>34</v>
      </c>
      <c r="L238" t="s">
        <v>49</v>
      </c>
      <c r="M238">
        <v>0</v>
      </c>
      <c r="N238">
        <f t="shared" si="15"/>
        <v>1</v>
      </c>
      <c r="P238" s="4">
        <f t="shared" si="12"/>
        <v>5</v>
      </c>
      <c r="Q238" s="4" t="str">
        <f t="shared" si="13"/>
        <v>Late Night</v>
      </c>
      <c r="R238" s="4" t="str">
        <f t="shared" si="14"/>
        <v>Low</v>
      </c>
    </row>
    <row r="239" spans="1:18">
      <c r="A239" t="s">
        <v>431</v>
      </c>
      <c r="B239" s="2">
        <v>46065</v>
      </c>
      <c r="C239" s="3">
        <v>0.661111111111111</v>
      </c>
      <c r="D239" t="s">
        <v>178</v>
      </c>
      <c r="E239">
        <v>129.2</v>
      </c>
      <c r="F239" t="s">
        <v>31</v>
      </c>
      <c r="G239" t="s">
        <v>71</v>
      </c>
      <c r="H239" t="s">
        <v>9</v>
      </c>
      <c r="I239" t="s">
        <v>15</v>
      </c>
      <c r="J239" t="s">
        <v>20</v>
      </c>
      <c r="K239">
        <v>23</v>
      </c>
      <c r="L239" t="s">
        <v>49</v>
      </c>
      <c r="M239">
        <v>0</v>
      </c>
      <c r="N239">
        <f t="shared" si="15"/>
        <v>1</v>
      </c>
      <c r="P239" s="4">
        <f t="shared" si="12"/>
        <v>15</v>
      </c>
      <c r="Q239" s="4" t="str">
        <f t="shared" si="13"/>
        <v>Late Night</v>
      </c>
      <c r="R239" s="4" t="str">
        <f t="shared" si="14"/>
        <v>Low</v>
      </c>
    </row>
    <row r="240" spans="1:18">
      <c r="A240" t="s">
        <v>432</v>
      </c>
      <c r="B240" s="2">
        <v>46065</v>
      </c>
      <c r="C240" s="3">
        <v>0.100694444444444</v>
      </c>
      <c r="D240" t="s">
        <v>158</v>
      </c>
      <c r="E240">
        <v>117.76</v>
      </c>
      <c r="F240" t="s">
        <v>29</v>
      </c>
      <c r="G240" t="s">
        <v>71</v>
      </c>
      <c r="H240" t="s">
        <v>6</v>
      </c>
      <c r="I240" t="s">
        <v>15</v>
      </c>
      <c r="J240" t="s">
        <v>22</v>
      </c>
      <c r="K240">
        <v>36</v>
      </c>
      <c r="L240" t="s">
        <v>49</v>
      </c>
      <c r="M240">
        <v>0</v>
      </c>
      <c r="N240">
        <f t="shared" si="15"/>
        <v>1</v>
      </c>
      <c r="P240" s="4">
        <f t="shared" si="12"/>
        <v>2</v>
      </c>
      <c r="Q240" s="4" t="str">
        <f t="shared" si="13"/>
        <v>Late Night</v>
      </c>
      <c r="R240" s="4" t="str">
        <f t="shared" si="14"/>
        <v>Low</v>
      </c>
    </row>
    <row r="241" spans="1:18">
      <c r="A241" t="s">
        <v>433</v>
      </c>
      <c r="B241" s="2">
        <v>46066</v>
      </c>
      <c r="C241" s="3">
        <v>0.819444444444444</v>
      </c>
      <c r="D241" t="s">
        <v>108</v>
      </c>
      <c r="E241">
        <v>163.4</v>
      </c>
      <c r="F241" t="s">
        <v>31</v>
      </c>
      <c r="G241" t="s">
        <v>59</v>
      </c>
      <c r="H241" t="s">
        <v>6</v>
      </c>
      <c r="I241" t="s">
        <v>15</v>
      </c>
      <c r="J241" t="s">
        <v>18</v>
      </c>
      <c r="K241">
        <v>22</v>
      </c>
      <c r="L241" t="s">
        <v>49</v>
      </c>
      <c r="M241">
        <v>0</v>
      </c>
      <c r="N241">
        <f t="shared" si="15"/>
        <v>1</v>
      </c>
      <c r="P241" s="4">
        <f t="shared" si="12"/>
        <v>19</v>
      </c>
      <c r="Q241" s="4" t="str">
        <f t="shared" si="13"/>
        <v>Late Night</v>
      </c>
      <c r="R241" s="4" t="str">
        <f t="shared" si="14"/>
        <v>Low</v>
      </c>
    </row>
    <row r="242" spans="1:18">
      <c r="A242" t="s">
        <v>434</v>
      </c>
      <c r="B242" s="2">
        <v>46066</v>
      </c>
      <c r="C242" s="3">
        <v>0.148611111111111</v>
      </c>
      <c r="D242" t="s">
        <v>277</v>
      </c>
      <c r="E242">
        <v>231.17</v>
      </c>
      <c r="F242" t="s">
        <v>29</v>
      </c>
      <c r="G242" t="s">
        <v>59</v>
      </c>
      <c r="H242" t="s">
        <v>5</v>
      </c>
      <c r="I242" t="s">
        <v>15</v>
      </c>
      <c r="J242" t="s">
        <v>18</v>
      </c>
      <c r="K242">
        <v>49</v>
      </c>
      <c r="L242" t="s">
        <v>85</v>
      </c>
      <c r="M242">
        <v>1</v>
      </c>
      <c r="N242">
        <f t="shared" si="15"/>
        <v>1</v>
      </c>
      <c r="P242" s="4">
        <f t="shared" si="12"/>
        <v>3</v>
      </c>
      <c r="Q242" s="4" t="str">
        <f t="shared" si="13"/>
        <v>Late Night</v>
      </c>
      <c r="R242" s="4" t="str">
        <f t="shared" si="14"/>
        <v>Low</v>
      </c>
    </row>
    <row r="243" spans="1:18">
      <c r="A243" t="s">
        <v>435</v>
      </c>
      <c r="B243" s="2">
        <v>46066</v>
      </c>
      <c r="C243" s="3">
        <v>0.785416666666667</v>
      </c>
      <c r="D243" t="s">
        <v>305</v>
      </c>
      <c r="E243">
        <v>325.89</v>
      </c>
      <c r="F243" t="s">
        <v>32</v>
      </c>
      <c r="G243" t="s">
        <v>59</v>
      </c>
      <c r="H243" t="s">
        <v>7</v>
      </c>
      <c r="I243" t="s">
        <v>15</v>
      </c>
      <c r="J243" t="s">
        <v>18</v>
      </c>
      <c r="K243">
        <v>27</v>
      </c>
      <c r="L243" t="s">
        <v>159</v>
      </c>
      <c r="M243">
        <v>0</v>
      </c>
      <c r="N243">
        <f t="shared" si="15"/>
        <v>1</v>
      </c>
      <c r="P243" s="4">
        <f t="shared" si="12"/>
        <v>18</v>
      </c>
      <c r="Q243" s="4" t="str">
        <f t="shared" si="13"/>
        <v>Late Night</v>
      </c>
      <c r="R243" s="4" t="str">
        <f t="shared" si="14"/>
        <v>Low</v>
      </c>
    </row>
    <row r="244" spans="1:18">
      <c r="A244" t="s">
        <v>436</v>
      </c>
      <c r="B244" s="2">
        <v>46066</v>
      </c>
      <c r="C244" s="3">
        <v>0.1</v>
      </c>
      <c r="D244" t="s">
        <v>437</v>
      </c>
      <c r="E244">
        <v>1258.35</v>
      </c>
      <c r="F244" t="s">
        <v>31</v>
      </c>
      <c r="G244" t="s">
        <v>48</v>
      </c>
      <c r="H244" t="s">
        <v>5</v>
      </c>
      <c r="I244" t="s">
        <v>14</v>
      </c>
      <c r="J244" t="s">
        <v>19</v>
      </c>
      <c r="K244">
        <v>26</v>
      </c>
      <c r="L244" t="s">
        <v>85</v>
      </c>
      <c r="M244">
        <v>1</v>
      </c>
      <c r="N244">
        <f t="shared" si="15"/>
        <v>1</v>
      </c>
      <c r="P244" s="4">
        <f t="shared" si="12"/>
        <v>2</v>
      </c>
      <c r="Q244" s="4" t="str">
        <f t="shared" si="13"/>
        <v>Late Night</v>
      </c>
      <c r="R244" s="4" t="str">
        <f t="shared" si="14"/>
        <v>Medium</v>
      </c>
    </row>
    <row r="245" spans="1:18">
      <c r="A245" t="s">
        <v>438</v>
      </c>
      <c r="B245" s="2">
        <v>46066</v>
      </c>
      <c r="C245" s="3">
        <v>0.767361111111111</v>
      </c>
      <c r="D245" t="s">
        <v>255</v>
      </c>
      <c r="E245">
        <v>20</v>
      </c>
      <c r="F245" t="s">
        <v>32</v>
      </c>
      <c r="G245" t="s">
        <v>54</v>
      </c>
      <c r="H245" t="s">
        <v>9</v>
      </c>
      <c r="I245" t="s">
        <v>15</v>
      </c>
      <c r="J245" t="s">
        <v>19</v>
      </c>
      <c r="K245">
        <v>44</v>
      </c>
      <c r="L245" t="s">
        <v>49</v>
      </c>
      <c r="M245">
        <v>0</v>
      </c>
      <c r="N245">
        <f t="shared" si="15"/>
        <v>1</v>
      </c>
      <c r="P245" s="4">
        <f t="shared" si="12"/>
        <v>18</v>
      </c>
      <c r="Q245" s="4" t="str">
        <f t="shared" si="13"/>
        <v>Late Night</v>
      </c>
      <c r="R245" s="4" t="str">
        <f t="shared" si="14"/>
        <v>Low</v>
      </c>
    </row>
    <row r="246" spans="1:18">
      <c r="A246" t="s">
        <v>439</v>
      </c>
      <c r="B246" s="2">
        <v>46066</v>
      </c>
      <c r="C246" s="3">
        <v>0.798611111111111</v>
      </c>
      <c r="D246" t="s">
        <v>342</v>
      </c>
      <c r="E246">
        <v>153.33</v>
      </c>
      <c r="F246" t="s">
        <v>28</v>
      </c>
      <c r="G246" t="s">
        <v>48</v>
      </c>
      <c r="H246" t="s">
        <v>9</v>
      </c>
      <c r="I246" t="s">
        <v>15</v>
      </c>
      <c r="J246" t="s">
        <v>23</v>
      </c>
      <c r="K246">
        <v>30</v>
      </c>
      <c r="L246" t="s">
        <v>49</v>
      </c>
      <c r="M246">
        <v>0</v>
      </c>
      <c r="N246">
        <f t="shared" si="15"/>
        <v>1</v>
      </c>
      <c r="P246" s="4">
        <f t="shared" si="12"/>
        <v>19</v>
      </c>
      <c r="Q246" s="4" t="str">
        <f t="shared" si="13"/>
        <v>Late Night</v>
      </c>
      <c r="R246" s="4" t="str">
        <f t="shared" si="14"/>
        <v>Low</v>
      </c>
    </row>
    <row r="247" spans="1:18">
      <c r="A247" t="s">
        <v>440</v>
      </c>
      <c r="B247" s="2">
        <v>46067</v>
      </c>
      <c r="C247" s="3">
        <v>0.275694444444444</v>
      </c>
      <c r="D247" t="s">
        <v>91</v>
      </c>
      <c r="E247">
        <v>46.32</v>
      </c>
      <c r="F247" t="s">
        <v>30</v>
      </c>
      <c r="G247" t="s">
        <v>54</v>
      </c>
      <c r="H247" t="s">
        <v>3</v>
      </c>
      <c r="I247" t="s">
        <v>15</v>
      </c>
      <c r="J247" t="s">
        <v>22</v>
      </c>
      <c r="K247">
        <v>36</v>
      </c>
      <c r="L247" t="s">
        <v>49</v>
      </c>
      <c r="M247">
        <v>0</v>
      </c>
      <c r="N247">
        <f t="shared" si="15"/>
        <v>1</v>
      </c>
      <c r="P247" s="4">
        <f t="shared" si="12"/>
        <v>6</v>
      </c>
      <c r="Q247" s="4" t="str">
        <f t="shared" si="13"/>
        <v>Late Night</v>
      </c>
      <c r="R247" s="4" t="str">
        <f t="shared" si="14"/>
        <v>Low</v>
      </c>
    </row>
    <row r="248" spans="1:18">
      <c r="A248" t="s">
        <v>441</v>
      </c>
      <c r="B248" s="2">
        <v>46067</v>
      </c>
      <c r="C248" s="3">
        <v>0.792361111111111</v>
      </c>
      <c r="D248" t="s">
        <v>75</v>
      </c>
      <c r="E248">
        <v>123.3</v>
      </c>
      <c r="F248" t="s">
        <v>29</v>
      </c>
      <c r="G248" t="s">
        <v>59</v>
      </c>
      <c r="H248" t="s">
        <v>6</v>
      </c>
      <c r="I248" t="s">
        <v>15</v>
      </c>
      <c r="J248" t="s">
        <v>19</v>
      </c>
      <c r="K248">
        <v>38</v>
      </c>
      <c r="L248" t="s">
        <v>49</v>
      </c>
      <c r="M248">
        <v>0</v>
      </c>
      <c r="N248">
        <f t="shared" si="15"/>
        <v>1</v>
      </c>
      <c r="P248" s="4">
        <f t="shared" si="12"/>
        <v>19</v>
      </c>
      <c r="Q248" s="4" t="str">
        <f t="shared" si="13"/>
        <v>Late Night</v>
      </c>
      <c r="R248" s="4" t="str">
        <f t="shared" si="14"/>
        <v>Low</v>
      </c>
    </row>
    <row r="249" spans="1:18">
      <c r="A249" t="s">
        <v>442</v>
      </c>
      <c r="B249" s="2">
        <v>46067</v>
      </c>
      <c r="C249" s="3">
        <v>0.3375</v>
      </c>
      <c r="D249" t="s">
        <v>443</v>
      </c>
      <c r="E249">
        <v>437.41</v>
      </c>
      <c r="F249" t="s">
        <v>28</v>
      </c>
      <c r="G249" t="s">
        <v>48</v>
      </c>
      <c r="H249" t="s">
        <v>8</v>
      </c>
      <c r="I249" t="s">
        <v>16</v>
      </c>
      <c r="J249" t="s">
        <v>22</v>
      </c>
      <c r="K249">
        <v>41</v>
      </c>
      <c r="L249" t="s">
        <v>49</v>
      </c>
      <c r="M249">
        <v>0</v>
      </c>
      <c r="N249">
        <f t="shared" si="15"/>
        <v>1</v>
      </c>
      <c r="P249" s="4">
        <f t="shared" si="12"/>
        <v>8</v>
      </c>
      <c r="Q249" s="4" t="str">
        <f t="shared" si="13"/>
        <v>Late Night</v>
      </c>
      <c r="R249" s="4" t="str">
        <f t="shared" si="14"/>
        <v>Low</v>
      </c>
    </row>
    <row r="250" spans="1:18">
      <c r="A250" t="s">
        <v>444</v>
      </c>
      <c r="B250" s="2">
        <v>46067</v>
      </c>
      <c r="C250" s="3">
        <v>0.0118055555555556</v>
      </c>
      <c r="D250" t="s">
        <v>80</v>
      </c>
      <c r="E250">
        <v>600.52</v>
      </c>
      <c r="F250" t="s">
        <v>29</v>
      </c>
      <c r="G250" t="s">
        <v>71</v>
      </c>
      <c r="H250" t="s">
        <v>8</v>
      </c>
      <c r="I250" t="s">
        <v>15</v>
      </c>
      <c r="J250" t="s">
        <v>23</v>
      </c>
      <c r="K250">
        <v>55</v>
      </c>
      <c r="L250" t="s">
        <v>49</v>
      </c>
      <c r="M250">
        <v>0</v>
      </c>
      <c r="N250">
        <f t="shared" si="15"/>
        <v>1</v>
      </c>
      <c r="P250" s="4">
        <f t="shared" si="12"/>
        <v>0</v>
      </c>
      <c r="Q250" s="4" t="str">
        <f t="shared" si="13"/>
        <v>Late Night</v>
      </c>
      <c r="R250" s="4" t="str">
        <f t="shared" si="14"/>
        <v>Low</v>
      </c>
    </row>
    <row r="251" spans="1:18">
      <c r="A251" t="s">
        <v>445</v>
      </c>
      <c r="B251" s="2">
        <v>46067</v>
      </c>
      <c r="C251" s="3">
        <v>0.309722222222222</v>
      </c>
      <c r="D251" t="s">
        <v>210</v>
      </c>
      <c r="E251">
        <v>629.37</v>
      </c>
      <c r="F251" t="s">
        <v>30</v>
      </c>
      <c r="G251" t="s">
        <v>71</v>
      </c>
      <c r="H251" t="s">
        <v>8</v>
      </c>
      <c r="I251" t="s">
        <v>15</v>
      </c>
      <c r="J251" t="s">
        <v>19</v>
      </c>
      <c r="K251">
        <v>21</v>
      </c>
      <c r="L251" t="s">
        <v>49</v>
      </c>
      <c r="M251">
        <v>0</v>
      </c>
      <c r="N251">
        <f t="shared" si="15"/>
        <v>1</v>
      </c>
      <c r="P251" s="4">
        <f t="shared" si="12"/>
        <v>7</v>
      </c>
      <c r="Q251" s="4" t="str">
        <f t="shared" si="13"/>
        <v>Late Night</v>
      </c>
      <c r="R251" s="4" t="str">
        <f t="shared" si="14"/>
        <v>Low</v>
      </c>
    </row>
    <row r="252" spans="1:18">
      <c r="A252" t="s">
        <v>446</v>
      </c>
      <c r="B252" s="2">
        <v>46068</v>
      </c>
      <c r="C252" s="3">
        <v>0.272916666666667</v>
      </c>
      <c r="D252" t="s">
        <v>155</v>
      </c>
      <c r="E252">
        <v>623.46</v>
      </c>
      <c r="F252" t="s">
        <v>28</v>
      </c>
      <c r="G252" t="s">
        <v>59</v>
      </c>
      <c r="H252" t="s">
        <v>3</v>
      </c>
      <c r="I252" t="s">
        <v>15</v>
      </c>
      <c r="J252" t="s">
        <v>18</v>
      </c>
      <c r="K252">
        <v>41</v>
      </c>
      <c r="L252" t="s">
        <v>49</v>
      </c>
      <c r="M252">
        <v>0</v>
      </c>
      <c r="N252">
        <f t="shared" si="15"/>
        <v>1</v>
      </c>
      <c r="P252" s="4">
        <f t="shared" si="12"/>
        <v>6</v>
      </c>
      <c r="Q252" s="4" t="str">
        <f t="shared" si="13"/>
        <v>Late Night</v>
      </c>
      <c r="R252" s="4" t="str">
        <f t="shared" si="14"/>
        <v>Low</v>
      </c>
    </row>
    <row r="253" spans="1:18">
      <c r="A253" t="s">
        <v>447</v>
      </c>
      <c r="B253" s="2">
        <v>46068</v>
      </c>
      <c r="C253" s="3">
        <v>0.726388888888889</v>
      </c>
      <c r="D253" t="s">
        <v>174</v>
      </c>
      <c r="E253">
        <v>152.33</v>
      </c>
      <c r="F253" t="s">
        <v>31</v>
      </c>
      <c r="G253" t="s">
        <v>59</v>
      </c>
      <c r="H253" t="s">
        <v>4</v>
      </c>
      <c r="I253" t="s">
        <v>15</v>
      </c>
      <c r="J253" t="s">
        <v>18</v>
      </c>
      <c r="K253">
        <v>52</v>
      </c>
      <c r="L253" t="s">
        <v>49</v>
      </c>
      <c r="M253">
        <v>0</v>
      </c>
      <c r="N253">
        <f t="shared" si="15"/>
        <v>1</v>
      </c>
      <c r="P253" s="4">
        <f t="shared" si="12"/>
        <v>17</v>
      </c>
      <c r="Q253" s="4" t="str">
        <f t="shared" si="13"/>
        <v>Late Night</v>
      </c>
      <c r="R253" s="4" t="str">
        <f t="shared" si="14"/>
        <v>Low</v>
      </c>
    </row>
    <row r="254" spans="1:18">
      <c r="A254" t="s">
        <v>448</v>
      </c>
      <c r="B254" s="2">
        <v>46068</v>
      </c>
      <c r="C254" s="3">
        <v>0.302777777777778</v>
      </c>
      <c r="D254" t="s">
        <v>449</v>
      </c>
      <c r="E254">
        <v>734.02</v>
      </c>
      <c r="F254" t="s">
        <v>29</v>
      </c>
      <c r="G254" t="s">
        <v>66</v>
      </c>
      <c r="H254" t="s">
        <v>8</v>
      </c>
      <c r="I254" t="s">
        <v>14</v>
      </c>
      <c r="J254" t="s">
        <v>20</v>
      </c>
      <c r="K254">
        <v>20</v>
      </c>
      <c r="L254" t="s">
        <v>49</v>
      </c>
      <c r="M254">
        <v>0</v>
      </c>
      <c r="N254">
        <f t="shared" si="15"/>
        <v>1</v>
      </c>
      <c r="P254" s="4">
        <f t="shared" si="12"/>
        <v>7</v>
      </c>
      <c r="Q254" s="4" t="str">
        <f t="shared" si="13"/>
        <v>Late Night</v>
      </c>
      <c r="R254" s="4" t="str">
        <f t="shared" si="14"/>
        <v>Low</v>
      </c>
    </row>
    <row r="255" spans="1:18">
      <c r="A255" t="s">
        <v>450</v>
      </c>
      <c r="B255" s="2">
        <v>46068</v>
      </c>
      <c r="C255" s="3">
        <v>0.0291666666666667</v>
      </c>
      <c r="D255" t="s">
        <v>97</v>
      </c>
      <c r="E255">
        <v>895.02</v>
      </c>
      <c r="F255" t="s">
        <v>30</v>
      </c>
      <c r="G255" t="s">
        <v>48</v>
      </c>
      <c r="H255" t="s">
        <v>9</v>
      </c>
      <c r="I255" t="s">
        <v>15</v>
      </c>
      <c r="J255" t="s">
        <v>24</v>
      </c>
      <c r="K255">
        <v>21</v>
      </c>
      <c r="L255" t="s">
        <v>49</v>
      </c>
      <c r="M255">
        <v>0</v>
      </c>
      <c r="N255">
        <f t="shared" si="15"/>
        <v>1</v>
      </c>
      <c r="P255" s="4">
        <f t="shared" si="12"/>
        <v>0</v>
      </c>
      <c r="Q255" s="4" t="str">
        <f t="shared" si="13"/>
        <v>Late Night</v>
      </c>
      <c r="R255" s="4" t="str">
        <f t="shared" si="14"/>
        <v>Low</v>
      </c>
    </row>
    <row r="256" spans="1:18">
      <c r="A256" t="s">
        <v>451</v>
      </c>
      <c r="B256" s="2">
        <v>46068</v>
      </c>
      <c r="C256" s="3">
        <v>0.456944444444444</v>
      </c>
      <c r="D256" t="s">
        <v>97</v>
      </c>
      <c r="E256">
        <v>208.26</v>
      </c>
      <c r="F256" t="s">
        <v>29</v>
      </c>
      <c r="G256" t="s">
        <v>66</v>
      </c>
      <c r="H256" t="s">
        <v>3</v>
      </c>
      <c r="I256" t="s">
        <v>15</v>
      </c>
      <c r="J256" t="s">
        <v>21</v>
      </c>
      <c r="K256">
        <v>54</v>
      </c>
      <c r="L256" t="s">
        <v>49</v>
      </c>
      <c r="M256">
        <v>0</v>
      </c>
      <c r="N256">
        <f t="shared" si="15"/>
        <v>1</v>
      </c>
      <c r="P256" s="4">
        <f t="shared" si="12"/>
        <v>10</v>
      </c>
      <c r="Q256" s="4" t="str">
        <f t="shared" si="13"/>
        <v>Late Night</v>
      </c>
      <c r="R256" s="4" t="str">
        <f t="shared" si="14"/>
        <v>Low</v>
      </c>
    </row>
    <row r="257" spans="1:18">
      <c r="A257" t="s">
        <v>452</v>
      </c>
      <c r="B257" s="2">
        <v>46068</v>
      </c>
      <c r="C257" s="3">
        <v>0.738194444444444</v>
      </c>
      <c r="D257" t="s">
        <v>321</v>
      </c>
      <c r="E257">
        <v>588.3</v>
      </c>
      <c r="F257" t="s">
        <v>29</v>
      </c>
      <c r="G257" t="s">
        <v>48</v>
      </c>
      <c r="H257" t="s">
        <v>5</v>
      </c>
      <c r="I257" t="s">
        <v>15</v>
      </c>
      <c r="J257" t="s">
        <v>24</v>
      </c>
      <c r="K257">
        <v>57</v>
      </c>
      <c r="L257" t="s">
        <v>49</v>
      </c>
      <c r="M257">
        <v>0</v>
      </c>
      <c r="N257">
        <f t="shared" si="15"/>
        <v>1</v>
      </c>
      <c r="P257" s="4">
        <f t="shared" si="12"/>
        <v>17</v>
      </c>
      <c r="Q257" s="4" t="str">
        <f t="shared" si="13"/>
        <v>Late Night</v>
      </c>
      <c r="R257" s="4" t="str">
        <f t="shared" si="14"/>
        <v>Low</v>
      </c>
    </row>
    <row r="258" spans="1:18">
      <c r="A258" t="s">
        <v>453</v>
      </c>
      <c r="B258" s="2">
        <v>46069</v>
      </c>
      <c r="C258" s="3">
        <v>0.956944444444444</v>
      </c>
      <c r="D258" t="s">
        <v>91</v>
      </c>
      <c r="E258">
        <v>188.9</v>
      </c>
      <c r="F258" t="s">
        <v>28</v>
      </c>
      <c r="G258" t="s">
        <v>66</v>
      </c>
      <c r="H258" t="s">
        <v>6</v>
      </c>
      <c r="I258" t="s">
        <v>15</v>
      </c>
      <c r="J258" t="s">
        <v>19</v>
      </c>
      <c r="K258">
        <v>65</v>
      </c>
      <c r="L258" t="s">
        <v>159</v>
      </c>
      <c r="M258">
        <v>0</v>
      </c>
      <c r="N258">
        <f t="shared" si="15"/>
        <v>1</v>
      </c>
      <c r="P258" s="4">
        <f t="shared" ref="P258:P321" si="16">HOUR(C258)</f>
        <v>22</v>
      </c>
      <c r="Q258" s="4" t="str">
        <f t="shared" ref="Q258:Q321" si="17">IF(N258&lt;6,"Late Night",IF(N258&lt;12,"Morning",IF(N258&lt;18,"Afternoon","Evening")))</f>
        <v>Late Night</v>
      </c>
      <c r="R258" s="4" t="str">
        <f t="shared" ref="R258:R321" si="18">IF(E258&lt;1000,"Low",IF(E258&lt;5000,"Medium",IF(E258&lt;15000,"High","Very High")))</f>
        <v>Low</v>
      </c>
    </row>
    <row r="259" spans="1:18">
      <c r="A259" t="s">
        <v>454</v>
      </c>
      <c r="B259" s="2">
        <v>46069</v>
      </c>
      <c r="C259" s="3">
        <v>0.409722222222222</v>
      </c>
      <c r="D259" t="s">
        <v>455</v>
      </c>
      <c r="E259">
        <v>742.66</v>
      </c>
      <c r="F259" t="s">
        <v>30</v>
      </c>
      <c r="G259" t="s">
        <v>48</v>
      </c>
      <c r="H259" t="s">
        <v>6</v>
      </c>
      <c r="I259" t="s">
        <v>14</v>
      </c>
      <c r="J259" t="s">
        <v>22</v>
      </c>
      <c r="K259">
        <v>52</v>
      </c>
      <c r="L259" t="s">
        <v>49</v>
      </c>
      <c r="M259">
        <v>0</v>
      </c>
      <c r="N259">
        <f t="shared" ref="N259:N322" si="19">COUNTIF($A$2:$A$1001,A259)</f>
        <v>1</v>
      </c>
      <c r="P259" s="4">
        <f t="shared" si="16"/>
        <v>9</v>
      </c>
      <c r="Q259" s="4" t="str">
        <f t="shared" si="17"/>
        <v>Late Night</v>
      </c>
      <c r="R259" s="4" t="str">
        <f t="shared" si="18"/>
        <v>Low</v>
      </c>
    </row>
    <row r="260" spans="1:18">
      <c r="A260" t="s">
        <v>456</v>
      </c>
      <c r="B260" s="2">
        <v>46069</v>
      </c>
      <c r="C260" s="3">
        <v>0.120138888888889</v>
      </c>
      <c r="D260" t="s">
        <v>457</v>
      </c>
      <c r="E260">
        <v>154.21</v>
      </c>
      <c r="F260" t="s">
        <v>31</v>
      </c>
      <c r="G260" t="s">
        <v>66</v>
      </c>
      <c r="H260" t="s">
        <v>7</v>
      </c>
      <c r="I260" t="s">
        <v>14</v>
      </c>
      <c r="J260" t="s">
        <v>19</v>
      </c>
      <c r="K260">
        <v>48</v>
      </c>
      <c r="L260" t="s">
        <v>85</v>
      </c>
      <c r="M260">
        <v>1</v>
      </c>
      <c r="N260">
        <f t="shared" si="19"/>
        <v>1</v>
      </c>
      <c r="P260" s="4">
        <f t="shared" si="16"/>
        <v>2</v>
      </c>
      <c r="Q260" s="4" t="str">
        <f t="shared" si="17"/>
        <v>Late Night</v>
      </c>
      <c r="R260" s="4" t="str">
        <f t="shared" si="18"/>
        <v>Low</v>
      </c>
    </row>
    <row r="261" spans="1:18">
      <c r="A261" t="s">
        <v>458</v>
      </c>
      <c r="B261" s="2">
        <v>46069</v>
      </c>
      <c r="C261" s="3">
        <v>0.265972222222222</v>
      </c>
      <c r="D261" t="s">
        <v>253</v>
      </c>
      <c r="E261">
        <v>98.54</v>
      </c>
      <c r="F261" t="s">
        <v>28</v>
      </c>
      <c r="G261" t="s">
        <v>71</v>
      </c>
      <c r="H261" t="s">
        <v>5</v>
      </c>
      <c r="I261" t="s">
        <v>15</v>
      </c>
      <c r="J261" t="s">
        <v>22</v>
      </c>
      <c r="K261">
        <v>61</v>
      </c>
      <c r="L261" t="s">
        <v>49</v>
      </c>
      <c r="M261">
        <v>0</v>
      </c>
      <c r="N261">
        <f t="shared" si="19"/>
        <v>1</v>
      </c>
      <c r="P261" s="4">
        <f t="shared" si="16"/>
        <v>6</v>
      </c>
      <c r="Q261" s="4" t="str">
        <f t="shared" si="17"/>
        <v>Late Night</v>
      </c>
      <c r="R261" s="4" t="str">
        <f t="shared" si="18"/>
        <v>Low</v>
      </c>
    </row>
    <row r="262" spans="1:18">
      <c r="A262" t="s">
        <v>459</v>
      </c>
      <c r="B262" s="2">
        <v>46069</v>
      </c>
      <c r="C262" s="3">
        <v>0.641666666666667</v>
      </c>
      <c r="D262" t="s">
        <v>216</v>
      </c>
      <c r="E262">
        <v>59.15</v>
      </c>
      <c r="F262" t="s">
        <v>31</v>
      </c>
      <c r="G262" t="s">
        <v>48</v>
      </c>
      <c r="H262" t="s">
        <v>7</v>
      </c>
      <c r="I262" t="s">
        <v>15</v>
      </c>
      <c r="J262" t="s">
        <v>22</v>
      </c>
      <c r="K262">
        <v>42</v>
      </c>
      <c r="L262" t="s">
        <v>49</v>
      </c>
      <c r="M262">
        <v>0</v>
      </c>
      <c r="N262">
        <f t="shared" si="19"/>
        <v>1</v>
      </c>
      <c r="P262" s="4">
        <f t="shared" si="16"/>
        <v>15</v>
      </c>
      <c r="Q262" s="4" t="str">
        <f t="shared" si="17"/>
        <v>Late Night</v>
      </c>
      <c r="R262" s="4" t="str">
        <f t="shared" si="18"/>
        <v>Low</v>
      </c>
    </row>
    <row r="263" spans="1:18">
      <c r="A263" t="s">
        <v>460</v>
      </c>
      <c r="B263" s="2">
        <v>46070</v>
      </c>
      <c r="C263" s="3">
        <v>0.629166666666667</v>
      </c>
      <c r="D263" t="s">
        <v>91</v>
      </c>
      <c r="E263">
        <v>152.38</v>
      </c>
      <c r="F263" t="s">
        <v>31</v>
      </c>
      <c r="G263" t="s">
        <v>54</v>
      </c>
      <c r="H263" t="s">
        <v>3</v>
      </c>
      <c r="I263" t="s">
        <v>14</v>
      </c>
      <c r="J263" t="s">
        <v>24</v>
      </c>
      <c r="K263">
        <v>57</v>
      </c>
      <c r="L263" t="s">
        <v>49</v>
      </c>
      <c r="M263">
        <v>0</v>
      </c>
      <c r="N263">
        <f t="shared" si="19"/>
        <v>1</v>
      </c>
      <c r="P263" s="4">
        <f t="shared" si="16"/>
        <v>15</v>
      </c>
      <c r="Q263" s="4" t="str">
        <f t="shared" si="17"/>
        <v>Late Night</v>
      </c>
      <c r="R263" s="4" t="str">
        <f t="shared" si="18"/>
        <v>Low</v>
      </c>
    </row>
    <row r="264" spans="1:18">
      <c r="A264" t="s">
        <v>461</v>
      </c>
      <c r="B264" s="2">
        <v>46070</v>
      </c>
      <c r="C264" s="3">
        <v>0.827083333333333</v>
      </c>
      <c r="D264" t="s">
        <v>462</v>
      </c>
      <c r="E264">
        <v>197.23</v>
      </c>
      <c r="F264" t="s">
        <v>31</v>
      </c>
      <c r="G264" t="s">
        <v>71</v>
      </c>
      <c r="H264" t="s">
        <v>10</v>
      </c>
      <c r="I264" t="s">
        <v>16</v>
      </c>
      <c r="J264" t="s">
        <v>21</v>
      </c>
      <c r="K264">
        <v>30</v>
      </c>
      <c r="L264" t="s">
        <v>49</v>
      </c>
      <c r="M264">
        <v>0</v>
      </c>
      <c r="N264">
        <f t="shared" si="19"/>
        <v>1</v>
      </c>
      <c r="P264" s="4">
        <f t="shared" si="16"/>
        <v>19</v>
      </c>
      <c r="Q264" s="4" t="str">
        <f t="shared" si="17"/>
        <v>Late Night</v>
      </c>
      <c r="R264" s="4" t="str">
        <f t="shared" si="18"/>
        <v>Low</v>
      </c>
    </row>
    <row r="265" spans="1:18">
      <c r="A265" t="s">
        <v>463</v>
      </c>
      <c r="B265" s="2">
        <v>46070</v>
      </c>
      <c r="C265" s="3">
        <v>0.670138888888889</v>
      </c>
      <c r="D265" t="s">
        <v>464</v>
      </c>
      <c r="E265">
        <v>70.4</v>
      </c>
      <c r="F265" t="s">
        <v>31</v>
      </c>
      <c r="G265" t="s">
        <v>54</v>
      </c>
      <c r="H265" t="s">
        <v>8</v>
      </c>
      <c r="I265" t="s">
        <v>15</v>
      </c>
      <c r="J265" t="s">
        <v>20</v>
      </c>
      <c r="K265">
        <v>21</v>
      </c>
      <c r="L265" t="s">
        <v>49</v>
      </c>
      <c r="M265">
        <v>0</v>
      </c>
      <c r="N265">
        <f t="shared" si="19"/>
        <v>1</v>
      </c>
      <c r="P265" s="4">
        <f t="shared" si="16"/>
        <v>16</v>
      </c>
      <c r="Q265" s="4" t="str">
        <f t="shared" si="17"/>
        <v>Late Night</v>
      </c>
      <c r="R265" s="4" t="str">
        <f t="shared" si="18"/>
        <v>Low</v>
      </c>
    </row>
    <row r="266" spans="1:18">
      <c r="A266" t="s">
        <v>465</v>
      </c>
      <c r="B266" s="2">
        <v>46070</v>
      </c>
      <c r="C266" s="3">
        <v>0.0777777777777778</v>
      </c>
      <c r="D266" t="s">
        <v>260</v>
      </c>
      <c r="E266">
        <v>141.16</v>
      </c>
      <c r="F266" t="s">
        <v>29</v>
      </c>
      <c r="G266" t="s">
        <v>66</v>
      </c>
      <c r="H266" t="s">
        <v>4</v>
      </c>
      <c r="I266" t="s">
        <v>15</v>
      </c>
      <c r="J266" t="s">
        <v>24</v>
      </c>
      <c r="K266">
        <v>63</v>
      </c>
      <c r="L266" t="s">
        <v>49</v>
      </c>
      <c r="M266">
        <v>0</v>
      </c>
      <c r="N266">
        <f t="shared" si="19"/>
        <v>1</v>
      </c>
      <c r="P266" s="4">
        <f t="shared" si="16"/>
        <v>1</v>
      </c>
      <c r="Q266" s="4" t="str">
        <f t="shared" si="17"/>
        <v>Late Night</v>
      </c>
      <c r="R266" s="4" t="str">
        <f t="shared" si="18"/>
        <v>Low</v>
      </c>
    </row>
    <row r="267" spans="1:18">
      <c r="A267" t="s">
        <v>466</v>
      </c>
      <c r="B267" s="2">
        <v>46070</v>
      </c>
      <c r="C267" s="3">
        <v>0.0159722222222222</v>
      </c>
      <c r="D267" t="s">
        <v>264</v>
      </c>
      <c r="E267">
        <v>107.07</v>
      </c>
      <c r="F267" t="s">
        <v>31</v>
      </c>
      <c r="G267" t="s">
        <v>59</v>
      </c>
      <c r="H267" t="s">
        <v>5</v>
      </c>
      <c r="I267" t="s">
        <v>15</v>
      </c>
      <c r="J267" t="s">
        <v>21</v>
      </c>
      <c r="K267">
        <v>31</v>
      </c>
      <c r="L267" t="s">
        <v>49</v>
      </c>
      <c r="M267">
        <v>0</v>
      </c>
      <c r="N267">
        <f t="shared" si="19"/>
        <v>1</v>
      </c>
      <c r="P267" s="4">
        <f t="shared" si="16"/>
        <v>0</v>
      </c>
      <c r="Q267" s="4" t="str">
        <f t="shared" si="17"/>
        <v>Late Night</v>
      </c>
      <c r="R267" s="4" t="str">
        <f t="shared" si="18"/>
        <v>Low</v>
      </c>
    </row>
    <row r="268" spans="1:18">
      <c r="A268" t="s">
        <v>467</v>
      </c>
      <c r="B268" s="2">
        <v>46070</v>
      </c>
      <c r="C268" s="3">
        <v>0.647222222222222</v>
      </c>
      <c r="D268" t="s">
        <v>468</v>
      </c>
      <c r="E268">
        <v>61.75</v>
      </c>
      <c r="F268" t="s">
        <v>28</v>
      </c>
      <c r="G268" t="s">
        <v>54</v>
      </c>
      <c r="H268" t="s">
        <v>5</v>
      </c>
      <c r="I268" t="s">
        <v>14</v>
      </c>
      <c r="J268" t="s">
        <v>18</v>
      </c>
      <c r="K268">
        <v>30</v>
      </c>
      <c r="L268" t="s">
        <v>49</v>
      </c>
      <c r="M268">
        <v>0</v>
      </c>
      <c r="N268">
        <f t="shared" si="19"/>
        <v>1</v>
      </c>
      <c r="P268" s="4">
        <f t="shared" si="16"/>
        <v>15</v>
      </c>
      <c r="Q268" s="4" t="str">
        <f t="shared" si="17"/>
        <v>Late Night</v>
      </c>
      <c r="R268" s="4" t="str">
        <f t="shared" si="18"/>
        <v>Low</v>
      </c>
    </row>
    <row r="269" spans="1:18">
      <c r="A269" t="s">
        <v>469</v>
      </c>
      <c r="B269" s="2">
        <v>46071</v>
      </c>
      <c r="C269" s="3">
        <v>0.491666666666667</v>
      </c>
      <c r="D269" t="s">
        <v>176</v>
      </c>
      <c r="E269">
        <v>510.75</v>
      </c>
      <c r="F269" t="s">
        <v>31</v>
      </c>
      <c r="G269" t="s">
        <v>48</v>
      </c>
      <c r="H269" t="s">
        <v>5</v>
      </c>
      <c r="I269" t="s">
        <v>15</v>
      </c>
      <c r="J269" t="s">
        <v>18</v>
      </c>
      <c r="K269">
        <v>44</v>
      </c>
      <c r="L269" t="s">
        <v>49</v>
      </c>
      <c r="M269">
        <v>0</v>
      </c>
      <c r="N269">
        <f t="shared" si="19"/>
        <v>1</v>
      </c>
      <c r="P269" s="4">
        <f t="shared" si="16"/>
        <v>11</v>
      </c>
      <c r="Q269" s="4" t="str">
        <f t="shared" si="17"/>
        <v>Late Night</v>
      </c>
      <c r="R269" s="4" t="str">
        <f t="shared" si="18"/>
        <v>Low</v>
      </c>
    </row>
    <row r="270" spans="1:18">
      <c r="A270" t="s">
        <v>470</v>
      </c>
      <c r="B270" s="2">
        <v>46071</v>
      </c>
      <c r="C270" s="3">
        <v>0.186111111111111</v>
      </c>
      <c r="D270" t="s">
        <v>58</v>
      </c>
      <c r="E270">
        <v>609.05</v>
      </c>
      <c r="F270" t="s">
        <v>31</v>
      </c>
      <c r="G270" t="s">
        <v>48</v>
      </c>
      <c r="H270" t="s">
        <v>7</v>
      </c>
      <c r="I270" t="s">
        <v>15</v>
      </c>
      <c r="J270" t="s">
        <v>22</v>
      </c>
      <c r="K270">
        <v>23</v>
      </c>
      <c r="L270" t="s">
        <v>49</v>
      </c>
      <c r="M270">
        <v>0</v>
      </c>
      <c r="N270">
        <f t="shared" si="19"/>
        <v>1</v>
      </c>
      <c r="P270" s="4">
        <f t="shared" si="16"/>
        <v>4</v>
      </c>
      <c r="Q270" s="4" t="str">
        <f t="shared" si="17"/>
        <v>Late Night</v>
      </c>
      <c r="R270" s="4" t="str">
        <f t="shared" si="18"/>
        <v>Low</v>
      </c>
    </row>
    <row r="271" spans="1:18">
      <c r="A271" t="s">
        <v>471</v>
      </c>
      <c r="B271" s="2">
        <v>46071</v>
      </c>
      <c r="C271" s="3">
        <v>0.195833333333333</v>
      </c>
      <c r="D271" t="s">
        <v>472</v>
      </c>
      <c r="E271">
        <v>508.48</v>
      </c>
      <c r="F271" t="s">
        <v>31</v>
      </c>
      <c r="G271" t="s">
        <v>66</v>
      </c>
      <c r="H271" t="s">
        <v>3</v>
      </c>
      <c r="I271" t="s">
        <v>14</v>
      </c>
      <c r="J271" t="s">
        <v>23</v>
      </c>
      <c r="K271">
        <v>34</v>
      </c>
      <c r="L271" t="s">
        <v>168</v>
      </c>
      <c r="M271">
        <v>1</v>
      </c>
      <c r="N271">
        <f t="shared" si="19"/>
        <v>1</v>
      </c>
      <c r="P271" s="4">
        <f t="shared" si="16"/>
        <v>4</v>
      </c>
      <c r="Q271" s="4" t="str">
        <f t="shared" si="17"/>
        <v>Late Night</v>
      </c>
      <c r="R271" s="4" t="str">
        <f t="shared" si="18"/>
        <v>Low</v>
      </c>
    </row>
    <row r="272" spans="1:18">
      <c r="A272" t="s">
        <v>473</v>
      </c>
      <c r="B272" s="2">
        <v>46071</v>
      </c>
      <c r="C272" s="3">
        <v>0.93125</v>
      </c>
      <c r="D272" t="s">
        <v>308</v>
      </c>
      <c r="E272">
        <v>166.64</v>
      </c>
      <c r="F272" t="s">
        <v>31</v>
      </c>
      <c r="G272" t="s">
        <v>54</v>
      </c>
      <c r="H272" t="s">
        <v>5</v>
      </c>
      <c r="I272" t="s">
        <v>15</v>
      </c>
      <c r="J272" t="s">
        <v>19</v>
      </c>
      <c r="K272">
        <v>53</v>
      </c>
      <c r="L272" t="s">
        <v>49</v>
      </c>
      <c r="M272">
        <v>0</v>
      </c>
      <c r="N272">
        <f t="shared" si="19"/>
        <v>1</v>
      </c>
      <c r="P272" s="4">
        <f t="shared" si="16"/>
        <v>22</v>
      </c>
      <c r="Q272" s="4" t="str">
        <f t="shared" si="17"/>
        <v>Late Night</v>
      </c>
      <c r="R272" s="4" t="str">
        <f t="shared" si="18"/>
        <v>Low</v>
      </c>
    </row>
    <row r="273" spans="1:18">
      <c r="A273" t="s">
        <v>474</v>
      </c>
      <c r="B273" s="2">
        <v>46071</v>
      </c>
      <c r="C273" s="3">
        <v>0.350694444444444</v>
      </c>
      <c r="D273" t="s">
        <v>129</v>
      </c>
      <c r="E273">
        <v>177.26</v>
      </c>
      <c r="F273" t="s">
        <v>29</v>
      </c>
      <c r="G273" t="s">
        <v>54</v>
      </c>
      <c r="H273" t="s">
        <v>10</v>
      </c>
      <c r="I273" t="s">
        <v>15</v>
      </c>
      <c r="J273" t="s">
        <v>19</v>
      </c>
      <c r="K273">
        <v>57</v>
      </c>
      <c r="L273" t="s">
        <v>49</v>
      </c>
      <c r="M273">
        <v>0</v>
      </c>
      <c r="N273">
        <f t="shared" si="19"/>
        <v>1</v>
      </c>
      <c r="P273" s="4">
        <f t="shared" si="16"/>
        <v>8</v>
      </c>
      <c r="Q273" s="4" t="str">
        <f t="shared" si="17"/>
        <v>Late Night</v>
      </c>
      <c r="R273" s="4" t="str">
        <f t="shared" si="18"/>
        <v>Low</v>
      </c>
    </row>
    <row r="274" spans="1:18">
      <c r="A274" t="s">
        <v>475</v>
      </c>
      <c r="B274" s="2">
        <v>46072</v>
      </c>
      <c r="C274" s="3">
        <v>0.352083333333333</v>
      </c>
      <c r="D274" t="s">
        <v>108</v>
      </c>
      <c r="E274">
        <v>62.6</v>
      </c>
      <c r="F274" t="s">
        <v>29</v>
      </c>
      <c r="G274" t="s">
        <v>54</v>
      </c>
      <c r="H274" t="s">
        <v>5</v>
      </c>
      <c r="I274" t="s">
        <v>15</v>
      </c>
      <c r="J274" t="s">
        <v>22</v>
      </c>
      <c r="K274">
        <v>52</v>
      </c>
      <c r="L274" t="s">
        <v>49</v>
      </c>
      <c r="M274">
        <v>0</v>
      </c>
      <c r="N274">
        <f t="shared" si="19"/>
        <v>1</v>
      </c>
      <c r="P274" s="4">
        <f t="shared" si="16"/>
        <v>8</v>
      </c>
      <c r="Q274" s="4" t="str">
        <f t="shared" si="17"/>
        <v>Late Night</v>
      </c>
      <c r="R274" s="4" t="str">
        <f t="shared" si="18"/>
        <v>Low</v>
      </c>
    </row>
    <row r="275" spans="1:18">
      <c r="A275" t="s">
        <v>476</v>
      </c>
      <c r="B275" s="2">
        <v>46072</v>
      </c>
      <c r="C275" s="3">
        <v>0.117361111111111</v>
      </c>
      <c r="D275" t="s">
        <v>477</v>
      </c>
      <c r="E275">
        <v>274.41</v>
      </c>
      <c r="F275" t="s">
        <v>29</v>
      </c>
      <c r="G275" t="s">
        <v>59</v>
      </c>
      <c r="H275" t="s">
        <v>6</v>
      </c>
      <c r="I275" t="s">
        <v>15</v>
      </c>
      <c r="J275" t="s">
        <v>23</v>
      </c>
      <c r="K275">
        <v>34</v>
      </c>
      <c r="L275" t="s">
        <v>85</v>
      </c>
      <c r="M275">
        <v>1</v>
      </c>
      <c r="N275">
        <f t="shared" si="19"/>
        <v>1</v>
      </c>
      <c r="P275" s="4">
        <f t="shared" si="16"/>
        <v>2</v>
      </c>
      <c r="Q275" s="4" t="str">
        <f t="shared" si="17"/>
        <v>Late Night</v>
      </c>
      <c r="R275" s="4" t="str">
        <f t="shared" si="18"/>
        <v>Low</v>
      </c>
    </row>
    <row r="276" spans="1:18">
      <c r="A276" t="s">
        <v>478</v>
      </c>
      <c r="B276" s="2">
        <v>46072</v>
      </c>
      <c r="C276" s="3">
        <v>0.763888888888889</v>
      </c>
      <c r="D276" t="s">
        <v>77</v>
      </c>
      <c r="E276">
        <v>214.78</v>
      </c>
      <c r="F276" t="s">
        <v>28</v>
      </c>
      <c r="G276" t="s">
        <v>66</v>
      </c>
      <c r="H276" t="s">
        <v>8</v>
      </c>
      <c r="I276" t="s">
        <v>15</v>
      </c>
      <c r="J276" t="s">
        <v>21</v>
      </c>
      <c r="K276">
        <v>58</v>
      </c>
      <c r="L276" t="s">
        <v>49</v>
      </c>
      <c r="M276">
        <v>0</v>
      </c>
      <c r="N276">
        <f t="shared" si="19"/>
        <v>1</v>
      </c>
      <c r="P276" s="4">
        <f t="shared" si="16"/>
        <v>18</v>
      </c>
      <c r="Q276" s="4" t="str">
        <f t="shared" si="17"/>
        <v>Late Night</v>
      </c>
      <c r="R276" s="4" t="str">
        <f t="shared" si="18"/>
        <v>Low</v>
      </c>
    </row>
    <row r="277" spans="1:18">
      <c r="A277" t="s">
        <v>479</v>
      </c>
      <c r="B277" s="2">
        <v>46072</v>
      </c>
      <c r="C277" s="3">
        <v>0.658333333333333</v>
      </c>
      <c r="D277" t="s">
        <v>230</v>
      </c>
      <c r="E277">
        <v>3114.88</v>
      </c>
      <c r="F277" t="s">
        <v>31</v>
      </c>
      <c r="G277" t="s">
        <v>71</v>
      </c>
      <c r="H277" t="s">
        <v>4</v>
      </c>
      <c r="I277" t="s">
        <v>15</v>
      </c>
      <c r="J277" t="s">
        <v>18</v>
      </c>
      <c r="K277">
        <v>19</v>
      </c>
      <c r="L277" t="s">
        <v>49</v>
      </c>
      <c r="M277">
        <v>0</v>
      </c>
      <c r="N277">
        <f t="shared" si="19"/>
        <v>1</v>
      </c>
      <c r="P277" s="4">
        <f t="shared" si="16"/>
        <v>15</v>
      </c>
      <c r="Q277" s="4" t="str">
        <f t="shared" si="17"/>
        <v>Late Night</v>
      </c>
      <c r="R277" s="4" t="str">
        <f t="shared" si="18"/>
        <v>Medium</v>
      </c>
    </row>
    <row r="278" spans="1:18">
      <c r="A278" t="s">
        <v>480</v>
      </c>
      <c r="B278" s="2">
        <v>46072</v>
      </c>
      <c r="C278" s="3">
        <v>0.629166666666667</v>
      </c>
      <c r="D278" t="s">
        <v>392</v>
      </c>
      <c r="E278">
        <v>537.59</v>
      </c>
      <c r="F278" t="s">
        <v>30</v>
      </c>
      <c r="G278" t="s">
        <v>54</v>
      </c>
      <c r="H278" t="s">
        <v>8</v>
      </c>
      <c r="I278" t="s">
        <v>15</v>
      </c>
      <c r="J278" t="s">
        <v>19</v>
      </c>
      <c r="K278">
        <v>30</v>
      </c>
      <c r="L278" t="s">
        <v>168</v>
      </c>
      <c r="M278">
        <v>1</v>
      </c>
      <c r="N278">
        <f t="shared" si="19"/>
        <v>1</v>
      </c>
      <c r="P278" s="4">
        <f t="shared" si="16"/>
        <v>15</v>
      </c>
      <c r="Q278" s="4" t="str">
        <f t="shared" si="17"/>
        <v>Late Night</v>
      </c>
      <c r="R278" s="4" t="str">
        <f t="shared" si="18"/>
        <v>Low</v>
      </c>
    </row>
    <row r="279" spans="1:18">
      <c r="A279" t="s">
        <v>481</v>
      </c>
      <c r="B279" s="2">
        <v>46072</v>
      </c>
      <c r="C279" s="3">
        <v>0.0944444444444444</v>
      </c>
      <c r="D279" t="s">
        <v>294</v>
      </c>
      <c r="E279">
        <v>248.45</v>
      </c>
      <c r="F279" t="s">
        <v>28</v>
      </c>
      <c r="G279" t="s">
        <v>66</v>
      </c>
      <c r="H279" t="s">
        <v>6</v>
      </c>
      <c r="I279" t="s">
        <v>15</v>
      </c>
      <c r="J279" t="s">
        <v>24</v>
      </c>
      <c r="K279">
        <v>19</v>
      </c>
      <c r="L279" t="s">
        <v>49</v>
      </c>
      <c r="M279">
        <v>0</v>
      </c>
      <c r="N279">
        <f t="shared" si="19"/>
        <v>1</v>
      </c>
      <c r="P279" s="4">
        <f t="shared" si="16"/>
        <v>2</v>
      </c>
      <c r="Q279" s="4" t="str">
        <f t="shared" si="17"/>
        <v>Late Night</v>
      </c>
      <c r="R279" s="4" t="str">
        <f t="shared" si="18"/>
        <v>Low</v>
      </c>
    </row>
    <row r="280" spans="1:18">
      <c r="A280" t="s">
        <v>482</v>
      </c>
      <c r="B280" s="2">
        <v>46073</v>
      </c>
      <c r="C280" s="3">
        <v>0.804861111111111</v>
      </c>
      <c r="D280" t="s">
        <v>89</v>
      </c>
      <c r="E280">
        <v>173.88</v>
      </c>
      <c r="F280" t="s">
        <v>28</v>
      </c>
      <c r="G280" t="s">
        <v>66</v>
      </c>
      <c r="H280" t="s">
        <v>6</v>
      </c>
      <c r="I280" t="s">
        <v>14</v>
      </c>
      <c r="J280" t="s">
        <v>23</v>
      </c>
      <c r="K280">
        <v>45</v>
      </c>
      <c r="L280" t="s">
        <v>49</v>
      </c>
      <c r="M280">
        <v>0</v>
      </c>
      <c r="N280">
        <f t="shared" si="19"/>
        <v>1</v>
      </c>
      <c r="P280" s="4">
        <f t="shared" si="16"/>
        <v>19</v>
      </c>
      <c r="Q280" s="4" t="str">
        <f t="shared" si="17"/>
        <v>Late Night</v>
      </c>
      <c r="R280" s="4" t="str">
        <f t="shared" si="18"/>
        <v>Low</v>
      </c>
    </row>
    <row r="281" spans="1:18">
      <c r="A281" t="s">
        <v>483</v>
      </c>
      <c r="B281" s="2">
        <v>46073</v>
      </c>
      <c r="C281" s="3">
        <v>0.986111111111111</v>
      </c>
      <c r="D281" t="s">
        <v>484</v>
      </c>
      <c r="E281">
        <v>493.39</v>
      </c>
      <c r="F281" t="s">
        <v>31</v>
      </c>
      <c r="G281" t="s">
        <v>59</v>
      </c>
      <c r="H281" t="s">
        <v>4</v>
      </c>
      <c r="I281" t="s">
        <v>14</v>
      </c>
      <c r="J281" t="s">
        <v>21</v>
      </c>
      <c r="K281">
        <v>60</v>
      </c>
      <c r="L281" t="s">
        <v>49</v>
      </c>
      <c r="M281">
        <v>0</v>
      </c>
      <c r="N281">
        <f t="shared" si="19"/>
        <v>1</v>
      </c>
      <c r="P281" s="4">
        <f t="shared" si="16"/>
        <v>23</v>
      </c>
      <c r="Q281" s="4" t="str">
        <f t="shared" si="17"/>
        <v>Late Night</v>
      </c>
      <c r="R281" s="4" t="str">
        <f t="shared" si="18"/>
        <v>Low</v>
      </c>
    </row>
    <row r="282" spans="1:18">
      <c r="A282" t="s">
        <v>485</v>
      </c>
      <c r="B282" s="2">
        <v>46073</v>
      </c>
      <c r="C282" s="3">
        <v>0.908333333333333</v>
      </c>
      <c r="D282" t="s">
        <v>486</v>
      </c>
      <c r="E282">
        <v>72.55</v>
      </c>
      <c r="F282" t="s">
        <v>31</v>
      </c>
      <c r="G282" t="s">
        <v>71</v>
      </c>
      <c r="H282" t="s">
        <v>10</v>
      </c>
      <c r="I282" t="s">
        <v>15</v>
      </c>
      <c r="J282" t="s">
        <v>18</v>
      </c>
      <c r="K282">
        <v>43</v>
      </c>
      <c r="L282" t="s">
        <v>49</v>
      </c>
      <c r="M282">
        <v>0</v>
      </c>
      <c r="N282">
        <f t="shared" si="19"/>
        <v>1</v>
      </c>
      <c r="P282" s="4">
        <f t="shared" si="16"/>
        <v>21</v>
      </c>
      <c r="Q282" s="4" t="str">
        <f t="shared" si="17"/>
        <v>Late Night</v>
      </c>
      <c r="R282" s="4" t="str">
        <f t="shared" si="18"/>
        <v>Low</v>
      </c>
    </row>
    <row r="283" spans="1:18">
      <c r="A283" t="s">
        <v>487</v>
      </c>
      <c r="B283" s="2">
        <v>46073</v>
      </c>
      <c r="C283" s="3">
        <v>0.971527777777778</v>
      </c>
      <c r="D283" t="s">
        <v>488</v>
      </c>
      <c r="E283">
        <v>566.59</v>
      </c>
      <c r="F283" t="s">
        <v>31</v>
      </c>
      <c r="G283" t="s">
        <v>48</v>
      </c>
      <c r="H283" t="s">
        <v>3</v>
      </c>
      <c r="I283" t="s">
        <v>15</v>
      </c>
      <c r="J283" t="s">
        <v>24</v>
      </c>
      <c r="K283">
        <v>39</v>
      </c>
      <c r="L283" t="s">
        <v>49</v>
      </c>
      <c r="M283">
        <v>0</v>
      </c>
      <c r="N283">
        <f t="shared" si="19"/>
        <v>1</v>
      </c>
      <c r="P283" s="4">
        <f t="shared" si="16"/>
        <v>23</v>
      </c>
      <c r="Q283" s="4" t="str">
        <f t="shared" si="17"/>
        <v>Late Night</v>
      </c>
      <c r="R283" s="4" t="str">
        <f t="shared" si="18"/>
        <v>Low</v>
      </c>
    </row>
    <row r="284" spans="1:18">
      <c r="A284" t="s">
        <v>489</v>
      </c>
      <c r="B284" s="2">
        <v>46073</v>
      </c>
      <c r="C284" s="3">
        <v>0.0368055555555556</v>
      </c>
      <c r="D284" t="s">
        <v>237</v>
      </c>
      <c r="E284">
        <v>61.12</v>
      </c>
      <c r="F284" t="s">
        <v>31</v>
      </c>
      <c r="G284" t="s">
        <v>48</v>
      </c>
      <c r="H284" t="s">
        <v>6</v>
      </c>
      <c r="I284" t="s">
        <v>15</v>
      </c>
      <c r="J284" t="s">
        <v>23</v>
      </c>
      <c r="K284">
        <v>64</v>
      </c>
      <c r="L284" t="s">
        <v>49</v>
      </c>
      <c r="M284">
        <v>0</v>
      </c>
      <c r="N284">
        <f t="shared" si="19"/>
        <v>1</v>
      </c>
      <c r="P284" s="4">
        <f t="shared" si="16"/>
        <v>0</v>
      </c>
      <c r="Q284" s="4" t="str">
        <f t="shared" si="17"/>
        <v>Late Night</v>
      </c>
      <c r="R284" s="4" t="str">
        <f t="shared" si="18"/>
        <v>Low</v>
      </c>
    </row>
    <row r="285" spans="1:18">
      <c r="A285" t="s">
        <v>490</v>
      </c>
      <c r="B285" s="2">
        <v>46073</v>
      </c>
      <c r="C285" s="3">
        <v>0.972916666666667</v>
      </c>
      <c r="D285" t="s">
        <v>121</v>
      </c>
      <c r="E285">
        <v>103.39</v>
      </c>
      <c r="F285" t="s">
        <v>29</v>
      </c>
      <c r="G285" t="s">
        <v>66</v>
      </c>
      <c r="H285" t="s">
        <v>3</v>
      </c>
      <c r="I285" t="s">
        <v>15</v>
      </c>
      <c r="J285" t="s">
        <v>22</v>
      </c>
      <c r="K285">
        <v>60</v>
      </c>
      <c r="L285" t="s">
        <v>49</v>
      </c>
      <c r="M285">
        <v>0</v>
      </c>
      <c r="N285">
        <f t="shared" si="19"/>
        <v>1</v>
      </c>
      <c r="P285" s="4">
        <f t="shared" si="16"/>
        <v>23</v>
      </c>
      <c r="Q285" s="4" t="str">
        <f t="shared" si="17"/>
        <v>Late Night</v>
      </c>
      <c r="R285" s="4" t="str">
        <f t="shared" si="18"/>
        <v>Low</v>
      </c>
    </row>
    <row r="286" spans="1:18">
      <c r="A286" t="s">
        <v>491</v>
      </c>
      <c r="B286" s="2">
        <v>46074</v>
      </c>
      <c r="C286" s="3">
        <v>0.810416666666667</v>
      </c>
      <c r="D286" t="s">
        <v>300</v>
      </c>
      <c r="E286">
        <v>28.84</v>
      </c>
      <c r="F286" t="s">
        <v>28</v>
      </c>
      <c r="G286" t="s">
        <v>54</v>
      </c>
      <c r="H286" t="s">
        <v>6</v>
      </c>
      <c r="I286" t="s">
        <v>15</v>
      </c>
      <c r="J286" t="s">
        <v>22</v>
      </c>
      <c r="K286">
        <v>20</v>
      </c>
      <c r="L286" t="s">
        <v>49</v>
      </c>
      <c r="M286">
        <v>0</v>
      </c>
      <c r="N286">
        <f t="shared" si="19"/>
        <v>1</v>
      </c>
      <c r="P286" s="4">
        <f t="shared" si="16"/>
        <v>19</v>
      </c>
      <c r="Q286" s="4" t="str">
        <f t="shared" si="17"/>
        <v>Late Night</v>
      </c>
      <c r="R286" s="4" t="str">
        <f t="shared" si="18"/>
        <v>Low</v>
      </c>
    </row>
    <row r="287" spans="1:18">
      <c r="A287" t="s">
        <v>492</v>
      </c>
      <c r="B287" s="2">
        <v>46074</v>
      </c>
      <c r="C287" s="3">
        <v>0.44375</v>
      </c>
      <c r="D287" t="s">
        <v>449</v>
      </c>
      <c r="E287">
        <v>334.98</v>
      </c>
      <c r="F287" t="s">
        <v>29</v>
      </c>
      <c r="G287" t="s">
        <v>66</v>
      </c>
      <c r="H287" t="s">
        <v>9</v>
      </c>
      <c r="I287" t="s">
        <v>15</v>
      </c>
      <c r="J287" t="s">
        <v>22</v>
      </c>
      <c r="K287">
        <v>52</v>
      </c>
      <c r="L287" t="s">
        <v>49</v>
      </c>
      <c r="M287">
        <v>0</v>
      </c>
      <c r="N287">
        <f t="shared" si="19"/>
        <v>1</v>
      </c>
      <c r="P287" s="4">
        <f t="shared" si="16"/>
        <v>10</v>
      </c>
      <c r="Q287" s="4" t="str">
        <f t="shared" si="17"/>
        <v>Late Night</v>
      </c>
      <c r="R287" s="4" t="str">
        <f t="shared" si="18"/>
        <v>Low</v>
      </c>
    </row>
    <row r="288" spans="1:18">
      <c r="A288" t="s">
        <v>493</v>
      </c>
      <c r="B288" s="2">
        <v>46074</v>
      </c>
      <c r="C288" s="3">
        <v>0.7</v>
      </c>
      <c r="D288" t="s">
        <v>494</v>
      </c>
      <c r="E288">
        <v>232.74</v>
      </c>
      <c r="F288" t="s">
        <v>29</v>
      </c>
      <c r="G288" t="s">
        <v>71</v>
      </c>
      <c r="H288" t="s">
        <v>4</v>
      </c>
      <c r="I288" t="s">
        <v>15</v>
      </c>
      <c r="J288" t="s">
        <v>19</v>
      </c>
      <c r="K288">
        <v>29</v>
      </c>
      <c r="L288" t="s">
        <v>49</v>
      </c>
      <c r="M288">
        <v>0</v>
      </c>
      <c r="N288">
        <f t="shared" si="19"/>
        <v>1</v>
      </c>
      <c r="P288" s="4">
        <f t="shared" si="16"/>
        <v>16</v>
      </c>
      <c r="Q288" s="4" t="str">
        <f t="shared" si="17"/>
        <v>Late Night</v>
      </c>
      <c r="R288" s="4" t="str">
        <f t="shared" si="18"/>
        <v>Low</v>
      </c>
    </row>
    <row r="289" spans="1:18">
      <c r="A289" t="s">
        <v>495</v>
      </c>
      <c r="B289" s="2">
        <v>46074</v>
      </c>
      <c r="C289" s="3">
        <v>0.295833333333333</v>
      </c>
      <c r="D289" t="s">
        <v>53</v>
      </c>
      <c r="E289">
        <v>103.39</v>
      </c>
      <c r="F289" t="s">
        <v>30</v>
      </c>
      <c r="G289" t="s">
        <v>48</v>
      </c>
      <c r="H289" t="s">
        <v>6</v>
      </c>
      <c r="I289" t="s">
        <v>15</v>
      </c>
      <c r="J289" t="s">
        <v>21</v>
      </c>
      <c r="K289">
        <v>41</v>
      </c>
      <c r="L289" t="s">
        <v>49</v>
      </c>
      <c r="M289">
        <v>0</v>
      </c>
      <c r="N289">
        <f t="shared" si="19"/>
        <v>1</v>
      </c>
      <c r="P289" s="4">
        <f t="shared" si="16"/>
        <v>7</v>
      </c>
      <c r="Q289" s="4" t="str">
        <f t="shared" si="17"/>
        <v>Late Night</v>
      </c>
      <c r="R289" s="4" t="str">
        <f t="shared" si="18"/>
        <v>Low</v>
      </c>
    </row>
    <row r="290" spans="1:18">
      <c r="A290" t="s">
        <v>496</v>
      </c>
      <c r="B290" s="2">
        <v>46074</v>
      </c>
      <c r="C290" s="3">
        <v>0.125</v>
      </c>
      <c r="D290" t="s">
        <v>497</v>
      </c>
      <c r="E290">
        <v>71.58</v>
      </c>
      <c r="F290" t="s">
        <v>29</v>
      </c>
      <c r="G290" t="s">
        <v>71</v>
      </c>
      <c r="H290" t="s">
        <v>9</v>
      </c>
      <c r="I290" t="s">
        <v>15</v>
      </c>
      <c r="J290" t="s">
        <v>22</v>
      </c>
      <c r="K290">
        <v>22</v>
      </c>
      <c r="L290" t="s">
        <v>49</v>
      </c>
      <c r="M290">
        <v>0</v>
      </c>
      <c r="N290">
        <f t="shared" si="19"/>
        <v>1</v>
      </c>
      <c r="P290" s="4">
        <f t="shared" si="16"/>
        <v>3</v>
      </c>
      <c r="Q290" s="4" t="str">
        <f t="shared" si="17"/>
        <v>Late Night</v>
      </c>
      <c r="R290" s="4" t="str">
        <f t="shared" si="18"/>
        <v>Low</v>
      </c>
    </row>
    <row r="291" spans="1:18">
      <c r="A291" t="s">
        <v>498</v>
      </c>
      <c r="B291" s="2">
        <v>46075</v>
      </c>
      <c r="C291" s="3">
        <v>0.229861111111111</v>
      </c>
      <c r="D291" t="s">
        <v>499</v>
      </c>
      <c r="E291">
        <v>719.62</v>
      </c>
      <c r="F291" t="s">
        <v>32</v>
      </c>
      <c r="G291" t="s">
        <v>54</v>
      </c>
      <c r="H291" t="s">
        <v>8</v>
      </c>
      <c r="I291" t="s">
        <v>15</v>
      </c>
      <c r="J291" t="s">
        <v>19</v>
      </c>
      <c r="K291">
        <v>37</v>
      </c>
      <c r="L291" t="s">
        <v>49</v>
      </c>
      <c r="M291">
        <v>0</v>
      </c>
      <c r="N291">
        <f t="shared" si="19"/>
        <v>1</v>
      </c>
      <c r="P291" s="4">
        <f t="shared" si="16"/>
        <v>5</v>
      </c>
      <c r="Q291" s="4" t="str">
        <f t="shared" si="17"/>
        <v>Late Night</v>
      </c>
      <c r="R291" s="4" t="str">
        <f t="shared" si="18"/>
        <v>Low</v>
      </c>
    </row>
    <row r="292" spans="1:18">
      <c r="A292" t="s">
        <v>500</v>
      </c>
      <c r="B292" s="2">
        <v>46075</v>
      </c>
      <c r="C292" s="3">
        <v>0.3</v>
      </c>
      <c r="D292" t="s">
        <v>308</v>
      </c>
      <c r="E292">
        <v>158.6</v>
      </c>
      <c r="F292" t="s">
        <v>31</v>
      </c>
      <c r="G292" t="s">
        <v>54</v>
      </c>
      <c r="H292" t="s">
        <v>7</v>
      </c>
      <c r="I292" t="s">
        <v>15</v>
      </c>
      <c r="J292" t="s">
        <v>20</v>
      </c>
      <c r="K292">
        <v>56</v>
      </c>
      <c r="L292" t="s">
        <v>49</v>
      </c>
      <c r="M292">
        <v>0</v>
      </c>
      <c r="N292">
        <f t="shared" si="19"/>
        <v>1</v>
      </c>
      <c r="P292" s="4">
        <f t="shared" si="16"/>
        <v>7</v>
      </c>
      <c r="Q292" s="4" t="str">
        <f t="shared" si="17"/>
        <v>Late Night</v>
      </c>
      <c r="R292" s="4" t="str">
        <f t="shared" si="18"/>
        <v>Low</v>
      </c>
    </row>
    <row r="293" spans="1:18">
      <c r="A293" t="s">
        <v>501</v>
      </c>
      <c r="B293" s="2">
        <v>46075</v>
      </c>
      <c r="C293" s="3">
        <v>0.811805555555556</v>
      </c>
      <c r="D293" t="s">
        <v>502</v>
      </c>
      <c r="E293">
        <v>84.16</v>
      </c>
      <c r="F293" t="s">
        <v>31</v>
      </c>
      <c r="G293" t="s">
        <v>59</v>
      </c>
      <c r="H293" t="s">
        <v>9</v>
      </c>
      <c r="I293" t="s">
        <v>15</v>
      </c>
      <c r="J293" t="s">
        <v>19</v>
      </c>
      <c r="K293">
        <v>56</v>
      </c>
      <c r="L293" t="s">
        <v>49</v>
      </c>
      <c r="M293">
        <v>0</v>
      </c>
      <c r="N293">
        <f t="shared" si="19"/>
        <v>1</v>
      </c>
      <c r="P293" s="4">
        <f t="shared" si="16"/>
        <v>19</v>
      </c>
      <c r="Q293" s="4" t="str">
        <f t="shared" si="17"/>
        <v>Late Night</v>
      </c>
      <c r="R293" s="4" t="str">
        <f t="shared" si="18"/>
        <v>Low</v>
      </c>
    </row>
    <row r="294" spans="1:18">
      <c r="A294" t="s">
        <v>503</v>
      </c>
      <c r="B294" s="2">
        <v>46075</v>
      </c>
      <c r="C294" s="3">
        <v>0.0986111111111111</v>
      </c>
      <c r="D294" t="s">
        <v>53</v>
      </c>
      <c r="E294">
        <v>1238.84</v>
      </c>
      <c r="F294" t="s">
        <v>31</v>
      </c>
      <c r="G294" t="s">
        <v>71</v>
      </c>
      <c r="H294" t="s">
        <v>5</v>
      </c>
      <c r="I294" t="s">
        <v>15</v>
      </c>
      <c r="J294" t="s">
        <v>18</v>
      </c>
      <c r="K294">
        <v>30</v>
      </c>
      <c r="L294" t="s">
        <v>49</v>
      </c>
      <c r="M294">
        <v>0</v>
      </c>
      <c r="N294">
        <f t="shared" si="19"/>
        <v>1</v>
      </c>
      <c r="P294" s="4">
        <f t="shared" si="16"/>
        <v>2</v>
      </c>
      <c r="Q294" s="4" t="str">
        <f t="shared" si="17"/>
        <v>Late Night</v>
      </c>
      <c r="R294" s="4" t="str">
        <f t="shared" si="18"/>
        <v>Medium</v>
      </c>
    </row>
    <row r="295" spans="1:18">
      <c r="A295" t="s">
        <v>504</v>
      </c>
      <c r="B295" s="2">
        <v>46075</v>
      </c>
      <c r="C295" s="3">
        <v>0.659722222222222</v>
      </c>
      <c r="D295" t="s">
        <v>505</v>
      </c>
      <c r="E295">
        <v>93.97</v>
      </c>
      <c r="F295" t="s">
        <v>29</v>
      </c>
      <c r="G295" t="s">
        <v>48</v>
      </c>
      <c r="H295" t="s">
        <v>6</v>
      </c>
      <c r="I295" t="s">
        <v>14</v>
      </c>
      <c r="J295" t="s">
        <v>19</v>
      </c>
      <c r="K295">
        <v>58</v>
      </c>
      <c r="L295" t="s">
        <v>49</v>
      </c>
      <c r="M295">
        <v>0</v>
      </c>
      <c r="N295">
        <f t="shared" si="19"/>
        <v>1</v>
      </c>
      <c r="P295" s="4">
        <f t="shared" si="16"/>
        <v>15</v>
      </c>
      <c r="Q295" s="4" t="str">
        <f t="shared" si="17"/>
        <v>Late Night</v>
      </c>
      <c r="R295" s="4" t="str">
        <f t="shared" si="18"/>
        <v>Low</v>
      </c>
    </row>
    <row r="296" spans="1:18">
      <c r="A296" t="s">
        <v>506</v>
      </c>
      <c r="B296" s="2">
        <v>46075</v>
      </c>
      <c r="C296" s="3">
        <v>0.123611111111111</v>
      </c>
      <c r="D296" t="s">
        <v>195</v>
      </c>
      <c r="E296">
        <v>566.01</v>
      </c>
      <c r="F296" t="s">
        <v>30</v>
      </c>
      <c r="G296" t="s">
        <v>54</v>
      </c>
      <c r="H296" t="s">
        <v>9</v>
      </c>
      <c r="I296" t="s">
        <v>14</v>
      </c>
      <c r="J296" t="s">
        <v>21</v>
      </c>
      <c r="K296">
        <v>62</v>
      </c>
      <c r="L296" t="s">
        <v>49</v>
      </c>
      <c r="M296">
        <v>0</v>
      </c>
      <c r="N296">
        <f t="shared" si="19"/>
        <v>1</v>
      </c>
      <c r="P296" s="4">
        <f t="shared" si="16"/>
        <v>2</v>
      </c>
      <c r="Q296" s="4" t="str">
        <f t="shared" si="17"/>
        <v>Late Night</v>
      </c>
      <c r="R296" s="4" t="str">
        <f t="shared" si="18"/>
        <v>Low</v>
      </c>
    </row>
    <row r="297" spans="1:18">
      <c r="A297" t="s">
        <v>507</v>
      </c>
      <c r="B297" s="2">
        <v>46076</v>
      </c>
      <c r="C297" s="3">
        <v>0.746527777777778</v>
      </c>
      <c r="D297" t="s">
        <v>195</v>
      </c>
      <c r="E297">
        <v>57.34</v>
      </c>
      <c r="F297" t="s">
        <v>31</v>
      </c>
      <c r="G297" t="s">
        <v>59</v>
      </c>
      <c r="H297" t="s">
        <v>3</v>
      </c>
      <c r="I297" t="s">
        <v>15</v>
      </c>
      <c r="J297" t="s">
        <v>24</v>
      </c>
      <c r="K297">
        <v>29</v>
      </c>
      <c r="L297" t="s">
        <v>49</v>
      </c>
      <c r="M297">
        <v>0</v>
      </c>
      <c r="N297">
        <f t="shared" si="19"/>
        <v>1</v>
      </c>
      <c r="P297" s="4">
        <f t="shared" si="16"/>
        <v>17</v>
      </c>
      <c r="Q297" s="4" t="str">
        <f t="shared" si="17"/>
        <v>Late Night</v>
      </c>
      <c r="R297" s="4" t="str">
        <f t="shared" si="18"/>
        <v>Low</v>
      </c>
    </row>
    <row r="298" spans="1:18">
      <c r="A298" t="s">
        <v>508</v>
      </c>
      <c r="B298" s="2">
        <v>46076</v>
      </c>
      <c r="C298" s="3">
        <v>0.554166666666667</v>
      </c>
      <c r="D298" t="s">
        <v>145</v>
      </c>
      <c r="E298">
        <v>127.11</v>
      </c>
      <c r="F298" t="s">
        <v>32</v>
      </c>
      <c r="G298" t="s">
        <v>59</v>
      </c>
      <c r="H298" t="s">
        <v>7</v>
      </c>
      <c r="I298" t="s">
        <v>15</v>
      </c>
      <c r="J298" t="s">
        <v>19</v>
      </c>
      <c r="K298">
        <v>30</v>
      </c>
      <c r="L298" t="s">
        <v>49</v>
      </c>
      <c r="M298">
        <v>0</v>
      </c>
      <c r="N298">
        <f t="shared" si="19"/>
        <v>1</v>
      </c>
      <c r="P298" s="4">
        <f t="shared" si="16"/>
        <v>13</v>
      </c>
      <c r="Q298" s="4" t="str">
        <f t="shared" si="17"/>
        <v>Late Night</v>
      </c>
      <c r="R298" s="4" t="str">
        <f t="shared" si="18"/>
        <v>Low</v>
      </c>
    </row>
    <row r="299" spans="1:18">
      <c r="A299" t="s">
        <v>509</v>
      </c>
      <c r="B299" s="2">
        <v>46076</v>
      </c>
      <c r="C299" s="3">
        <v>0.729861111111111</v>
      </c>
      <c r="D299" t="s">
        <v>149</v>
      </c>
      <c r="E299">
        <v>299.55</v>
      </c>
      <c r="F299" t="s">
        <v>31</v>
      </c>
      <c r="G299" t="s">
        <v>59</v>
      </c>
      <c r="H299" t="s">
        <v>10</v>
      </c>
      <c r="I299" t="s">
        <v>15</v>
      </c>
      <c r="J299" t="s">
        <v>22</v>
      </c>
      <c r="K299">
        <v>27</v>
      </c>
      <c r="L299" t="s">
        <v>49</v>
      </c>
      <c r="M299">
        <v>0</v>
      </c>
      <c r="N299">
        <f t="shared" si="19"/>
        <v>1</v>
      </c>
      <c r="P299" s="4">
        <f t="shared" si="16"/>
        <v>17</v>
      </c>
      <c r="Q299" s="4" t="str">
        <f t="shared" si="17"/>
        <v>Late Night</v>
      </c>
      <c r="R299" s="4" t="str">
        <f t="shared" si="18"/>
        <v>Low</v>
      </c>
    </row>
    <row r="300" spans="1:18">
      <c r="A300" t="s">
        <v>510</v>
      </c>
      <c r="B300" s="2">
        <v>46076</v>
      </c>
      <c r="C300" s="3">
        <v>0.0618055555555556</v>
      </c>
      <c r="D300" t="s">
        <v>511</v>
      </c>
      <c r="E300">
        <v>171.09</v>
      </c>
      <c r="F300" t="s">
        <v>32</v>
      </c>
      <c r="G300" t="s">
        <v>48</v>
      </c>
      <c r="H300" t="s">
        <v>6</v>
      </c>
      <c r="I300" t="s">
        <v>15</v>
      </c>
      <c r="J300" t="s">
        <v>18</v>
      </c>
      <c r="K300">
        <v>50</v>
      </c>
      <c r="L300" t="s">
        <v>85</v>
      </c>
      <c r="M300">
        <v>1</v>
      </c>
      <c r="N300">
        <f t="shared" si="19"/>
        <v>1</v>
      </c>
      <c r="P300" s="4">
        <f t="shared" si="16"/>
        <v>1</v>
      </c>
      <c r="Q300" s="4" t="str">
        <f t="shared" si="17"/>
        <v>Late Night</v>
      </c>
      <c r="R300" s="4" t="str">
        <f t="shared" si="18"/>
        <v>Low</v>
      </c>
    </row>
    <row r="301" spans="1:18">
      <c r="A301" t="s">
        <v>512</v>
      </c>
      <c r="B301" s="2">
        <v>46076</v>
      </c>
      <c r="C301" s="3">
        <v>0.894444444444444</v>
      </c>
      <c r="D301" t="s">
        <v>118</v>
      </c>
      <c r="E301">
        <v>231.31</v>
      </c>
      <c r="F301" t="s">
        <v>31</v>
      </c>
      <c r="G301" t="s">
        <v>48</v>
      </c>
      <c r="H301" t="s">
        <v>5</v>
      </c>
      <c r="I301" t="s">
        <v>15</v>
      </c>
      <c r="J301" t="s">
        <v>23</v>
      </c>
      <c r="K301">
        <v>57</v>
      </c>
      <c r="L301" t="s">
        <v>49</v>
      </c>
      <c r="M301">
        <v>0</v>
      </c>
      <c r="N301">
        <f t="shared" si="19"/>
        <v>1</v>
      </c>
      <c r="P301" s="4">
        <f t="shared" si="16"/>
        <v>21</v>
      </c>
      <c r="Q301" s="4" t="str">
        <f t="shared" si="17"/>
        <v>Late Night</v>
      </c>
      <c r="R301" s="4" t="str">
        <f t="shared" si="18"/>
        <v>Low</v>
      </c>
    </row>
    <row r="302" spans="1:18">
      <c r="A302" t="s">
        <v>513</v>
      </c>
      <c r="B302" s="2">
        <v>46077</v>
      </c>
      <c r="C302" s="3">
        <v>0.116666666666667</v>
      </c>
      <c r="D302" t="s">
        <v>153</v>
      </c>
      <c r="E302">
        <v>0</v>
      </c>
      <c r="F302" t="s">
        <v>31</v>
      </c>
      <c r="G302" t="s">
        <v>54</v>
      </c>
      <c r="H302" t="s">
        <v>10</v>
      </c>
      <c r="I302" t="s">
        <v>14</v>
      </c>
      <c r="J302" t="s">
        <v>22</v>
      </c>
      <c r="K302">
        <v>33</v>
      </c>
      <c r="L302" t="s">
        <v>49</v>
      </c>
      <c r="M302">
        <v>1</v>
      </c>
      <c r="N302">
        <f t="shared" si="19"/>
        <v>1</v>
      </c>
      <c r="O302" t="s">
        <v>43</v>
      </c>
      <c r="P302" s="4">
        <f t="shared" si="16"/>
        <v>2</v>
      </c>
      <c r="Q302" s="4" t="str">
        <f t="shared" si="17"/>
        <v>Late Night</v>
      </c>
      <c r="R302" s="4" t="str">
        <f t="shared" si="18"/>
        <v>Low</v>
      </c>
    </row>
    <row r="303" spans="1:18">
      <c r="A303" t="s">
        <v>514</v>
      </c>
      <c r="B303" s="2">
        <v>46077</v>
      </c>
      <c r="C303" s="3">
        <v>0.655555555555556</v>
      </c>
      <c r="D303" t="s">
        <v>260</v>
      </c>
      <c r="E303">
        <v>0</v>
      </c>
      <c r="F303" t="s">
        <v>28</v>
      </c>
      <c r="G303" t="s">
        <v>66</v>
      </c>
      <c r="H303" t="s">
        <v>9</v>
      </c>
      <c r="I303" t="s">
        <v>15</v>
      </c>
      <c r="J303" t="s">
        <v>18</v>
      </c>
      <c r="K303">
        <v>62</v>
      </c>
      <c r="L303" t="s">
        <v>49</v>
      </c>
      <c r="M303">
        <v>0</v>
      </c>
      <c r="N303">
        <f t="shared" si="19"/>
        <v>1</v>
      </c>
      <c r="O303" t="s">
        <v>43</v>
      </c>
      <c r="P303" s="4">
        <f t="shared" si="16"/>
        <v>15</v>
      </c>
      <c r="Q303" s="4" t="str">
        <f t="shared" si="17"/>
        <v>Late Night</v>
      </c>
      <c r="R303" s="4" t="str">
        <f t="shared" si="18"/>
        <v>Low</v>
      </c>
    </row>
    <row r="304" spans="1:18">
      <c r="A304" t="s">
        <v>515</v>
      </c>
      <c r="B304" s="2">
        <v>46077</v>
      </c>
      <c r="C304" s="3">
        <v>0.352777777777778</v>
      </c>
      <c r="D304" t="s">
        <v>61</v>
      </c>
      <c r="E304">
        <v>784.92</v>
      </c>
      <c r="F304" t="s">
        <v>31</v>
      </c>
      <c r="G304" t="s">
        <v>48</v>
      </c>
      <c r="H304" t="s">
        <v>10</v>
      </c>
      <c r="I304" t="s">
        <v>14</v>
      </c>
      <c r="J304" t="s">
        <v>20</v>
      </c>
      <c r="K304">
        <v>52</v>
      </c>
      <c r="L304" t="s">
        <v>49</v>
      </c>
      <c r="M304">
        <v>0</v>
      </c>
      <c r="N304">
        <f t="shared" si="19"/>
        <v>1</v>
      </c>
      <c r="P304" s="4">
        <f t="shared" si="16"/>
        <v>8</v>
      </c>
      <c r="Q304" s="4" t="str">
        <f t="shared" si="17"/>
        <v>Late Night</v>
      </c>
      <c r="R304" s="4" t="str">
        <f t="shared" si="18"/>
        <v>Low</v>
      </c>
    </row>
    <row r="305" spans="1:18">
      <c r="A305" t="s">
        <v>516</v>
      </c>
      <c r="B305" s="2">
        <v>46077</v>
      </c>
      <c r="C305" s="3">
        <v>0.145138888888889</v>
      </c>
      <c r="D305" t="s">
        <v>517</v>
      </c>
      <c r="E305">
        <v>112.41</v>
      </c>
      <c r="F305" t="s">
        <v>31</v>
      </c>
      <c r="G305" t="s">
        <v>48</v>
      </c>
      <c r="H305" t="s">
        <v>10</v>
      </c>
      <c r="I305" t="s">
        <v>15</v>
      </c>
      <c r="J305" t="s">
        <v>23</v>
      </c>
      <c r="K305">
        <v>20</v>
      </c>
      <c r="L305" t="s">
        <v>49</v>
      </c>
      <c r="M305">
        <v>0</v>
      </c>
      <c r="N305">
        <f t="shared" si="19"/>
        <v>1</v>
      </c>
      <c r="P305" s="4">
        <f t="shared" si="16"/>
        <v>3</v>
      </c>
      <c r="Q305" s="4" t="str">
        <f t="shared" si="17"/>
        <v>Late Night</v>
      </c>
      <c r="R305" s="4" t="str">
        <f t="shared" si="18"/>
        <v>Low</v>
      </c>
    </row>
    <row r="306" spans="1:18">
      <c r="A306" t="s">
        <v>518</v>
      </c>
      <c r="B306" s="2">
        <v>46077</v>
      </c>
      <c r="C306" s="3">
        <v>0.0104166666666667</v>
      </c>
      <c r="D306" t="s">
        <v>47</v>
      </c>
      <c r="E306">
        <v>242.02</v>
      </c>
      <c r="F306" t="s">
        <v>31</v>
      </c>
      <c r="G306" t="s">
        <v>71</v>
      </c>
      <c r="H306" t="s">
        <v>7</v>
      </c>
      <c r="I306" t="s">
        <v>15</v>
      </c>
      <c r="J306" t="s">
        <v>20</v>
      </c>
      <c r="K306">
        <v>22</v>
      </c>
      <c r="L306" t="s">
        <v>49</v>
      </c>
      <c r="M306">
        <v>0</v>
      </c>
      <c r="N306">
        <f t="shared" si="19"/>
        <v>1</v>
      </c>
      <c r="P306" s="4">
        <f t="shared" si="16"/>
        <v>0</v>
      </c>
      <c r="Q306" s="4" t="str">
        <f t="shared" si="17"/>
        <v>Late Night</v>
      </c>
      <c r="R306" s="4" t="str">
        <f t="shared" si="18"/>
        <v>Low</v>
      </c>
    </row>
    <row r="307" spans="1:18">
      <c r="A307" t="s">
        <v>519</v>
      </c>
      <c r="B307" s="2">
        <v>46077</v>
      </c>
      <c r="C307" s="3">
        <v>0.152083333333333</v>
      </c>
      <c r="D307" t="s">
        <v>58</v>
      </c>
      <c r="E307">
        <v>365.75</v>
      </c>
      <c r="F307" t="s">
        <v>30</v>
      </c>
      <c r="G307" t="s">
        <v>48</v>
      </c>
      <c r="H307" t="s">
        <v>8</v>
      </c>
      <c r="I307" t="s">
        <v>14</v>
      </c>
      <c r="J307" t="s">
        <v>24</v>
      </c>
      <c r="K307">
        <v>43</v>
      </c>
      <c r="L307" t="s">
        <v>49</v>
      </c>
      <c r="M307">
        <v>0</v>
      </c>
      <c r="N307">
        <f t="shared" si="19"/>
        <v>1</v>
      </c>
      <c r="P307" s="4">
        <f t="shared" si="16"/>
        <v>3</v>
      </c>
      <c r="Q307" s="4" t="str">
        <f t="shared" si="17"/>
        <v>Late Night</v>
      </c>
      <c r="R307" s="4" t="str">
        <f t="shared" si="18"/>
        <v>Low</v>
      </c>
    </row>
    <row r="308" spans="1:18">
      <c r="A308" t="s">
        <v>520</v>
      </c>
      <c r="B308" s="2">
        <v>46078</v>
      </c>
      <c r="C308" s="3">
        <v>0.0125</v>
      </c>
      <c r="D308" t="s">
        <v>197</v>
      </c>
      <c r="E308">
        <v>246.84</v>
      </c>
      <c r="F308" t="s">
        <v>28</v>
      </c>
      <c r="G308" t="s">
        <v>71</v>
      </c>
      <c r="H308" t="s">
        <v>10</v>
      </c>
      <c r="I308" t="s">
        <v>15</v>
      </c>
      <c r="J308" t="s">
        <v>18</v>
      </c>
      <c r="K308">
        <v>28</v>
      </c>
      <c r="L308" t="s">
        <v>49</v>
      </c>
      <c r="M308">
        <v>0</v>
      </c>
      <c r="N308">
        <f t="shared" si="19"/>
        <v>1</v>
      </c>
      <c r="P308" s="4">
        <f t="shared" si="16"/>
        <v>0</v>
      </c>
      <c r="Q308" s="4" t="str">
        <f t="shared" si="17"/>
        <v>Late Night</v>
      </c>
      <c r="R308" s="4" t="str">
        <f t="shared" si="18"/>
        <v>Low</v>
      </c>
    </row>
    <row r="309" spans="1:18">
      <c r="A309" t="s">
        <v>521</v>
      </c>
      <c r="B309" s="2">
        <v>46078</v>
      </c>
      <c r="C309" s="3">
        <v>0.553472222222222</v>
      </c>
      <c r="D309" t="s">
        <v>380</v>
      </c>
      <c r="E309">
        <v>89.25</v>
      </c>
      <c r="F309" t="s">
        <v>31</v>
      </c>
      <c r="G309" t="s">
        <v>59</v>
      </c>
      <c r="H309" t="s">
        <v>10</v>
      </c>
      <c r="I309" t="s">
        <v>15</v>
      </c>
      <c r="J309" t="s">
        <v>20</v>
      </c>
      <c r="K309">
        <v>24</v>
      </c>
      <c r="L309" t="s">
        <v>49</v>
      </c>
      <c r="M309">
        <v>0</v>
      </c>
      <c r="N309">
        <f t="shared" si="19"/>
        <v>1</v>
      </c>
      <c r="P309" s="4">
        <f t="shared" si="16"/>
        <v>13</v>
      </c>
      <c r="Q309" s="4" t="str">
        <f t="shared" si="17"/>
        <v>Late Night</v>
      </c>
      <c r="R309" s="4" t="str">
        <f t="shared" si="18"/>
        <v>Low</v>
      </c>
    </row>
    <row r="310" spans="1:18">
      <c r="A310" t="s">
        <v>522</v>
      </c>
      <c r="B310" s="2">
        <v>46078</v>
      </c>
      <c r="C310" s="3">
        <v>0.833333333333333</v>
      </c>
      <c r="D310" t="s">
        <v>91</v>
      </c>
      <c r="E310">
        <v>578.11</v>
      </c>
      <c r="F310" t="s">
        <v>29</v>
      </c>
      <c r="G310" t="s">
        <v>66</v>
      </c>
      <c r="H310" t="s">
        <v>6</v>
      </c>
      <c r="I310" t="s">
        <v>15</v>
      </c>
      <c r="J310" t="s">
        <v>24</v>
      </c>
      <c r="K310">
        <v>27</v>
      </c>
      <c r="L310" t="s">
        <v>49</v>
      </c>
      <c r="M310">
        <v>0</v>
      </c>
      <c r="N310">
        <f t="shared" si="19"/>
        <v>1</v>
      </c>
      <c r="P310" s="4">
        <f t="shared" si="16"/>
        <v>20</v>
      </c>
      <c r="Q310" s="4" t="str">
        <f t="shared" si="17"/>
        <v>Late Night</v>
      </c>
      <c r="R310" s="4" t="str">
        <f t="shared" si="18"/>
        <v>Low</v>
      </c>
    </row>
    <row r="311" spans="1:18">
      <c r="A311" t="s">
        <v>523</v>
      </c>
      <c r="B311" s="2">
        <v>46078</v>
      </c>
      <c r="C311" s="3">
        <v>0.634027777777778</v>
      </c>
      <c r="D311" t="s">
        <v>167</v>
      </c>
      <c r="E311">
        <v>302.98</v>
      </c>
      <c r="F311" t="s">
        <v>29</v>
      </c>
      <c r="G311" t="s">
        <v>48</v>
      </c>
      <c r="H311" t="s">
        <v>8</v>
      </c>
      <c r="I311" t="s">
        <v>15</v>
      </c>
      <c r="J311" t="s">
        <v>18</v>
      </c>
      <c r="K311">
        <v>59</v>
      </c>
      <c r="L311" t="s">
        <v>49</v>
      </c>
      <c r="M311">
        <v>0</v>
      </c>
      <c r="N311">
        <f t="shared" si="19"/>
        <v>1</v>
      </c>
      <c r="P311" s="4">
        <f t="shared" si="16"/>
        <v>15</v>
      </c>
      <c r="Q311" s="4" t="str">
        <f t="shared" si="17"/>
        <v>Late Night</v>
      </c>
      <c r="R311" s="4" t="str">
        <f t="shared" si="18"/>
        <v>Low</v>
      </c>
    </row>
    <row r="312" spans="1:18">
      <c r="A312" t="s">
        <v>524</v>
      </c>
      <c r="B312" s="2">
        <v>46078</v>
      </c>
      <c r="C312" s="3">
        <v>0.826388888888889</v>
      </c>
      <c r="D312" t="s">
        <v>457</v>
      </c>
      <c r="E312">
        <v>221.14</v>
      </c>
      <c r="F312" t="s">
        <v>31</v>
      </c>
      <c r="G312" t="s">
        <v>48</v>
      </c>
      <c r="H312" t="s">
        <v>7</v>
      </c>
      <c r="I312" t="s">
        <v>16</v>
      </c>
      <c r="J312" t="s">
        <v>18</v>
      </c>
      <c r="K312">
        <v>51</v>
      </c>
      <c r="L312" t="s">
        <v>49</v>
      </c>
      <c r="M312">
        <v>0</v>
      </c>
      <c r="N312">
        <f t="shared" si="19"/>
        <v>1</v>
      </c>
      <c r="P312" s="4">
        <f t="shared" si="16"/>
        <v>19</v>
      </c>
      <c r="Q312" s="4" t="str">
        <f t="shared" si="17"/>
        <v>Late Night</v>
      </c>
      <c r="R312" s="4" t="str">
        <f t="shared" si="18"/>
        <v>Low</v>
      </c>
    </row>
    <row r="313" spans="1:18">
      <c r="A313" t="s">
        <v>525</v>
      </c>
      <c r="B313" s="2">
        <v>46079</v>
      </c>
      <c r="C313" s="3">
        <v>0.990277777777778</v>
      </c>
      <c r="D313" t="s">
        <v>526</v>
      </c>
      <c r="E313">
        <v>216.07</v>
      </c>
      <c r="F313" t="s">
        <v>28</v>
      </c>
      <c r="G313" t="s">
        <v>59</v>
      </c>
      <c r="H313" t="s">
        <v>5</v>
      </c>
      <c r="I313" t="s">
        <v>15</v>
      </c>
      <c r="J313" t="s">
        <v>20</v>
      </c>
      <c r="K313">
        <v>20</v>
      </c>
      <c r="L313" t="s">
        <v>49</v>
      </c>
      <c r="M313">
        <v>0</v>
      </c>
      <c r="N313">
        <f t="shared" si="19"/>
        <v>1</v>
      </c>
      <c r="P313" s="4">
        <f t="shared" si="16"/>
        <v>23</v>
      </c>
      <c r="Q313" s="4" t="str">
        <f t="shared" si="17"/>
        <v>Late Night</v>
      </c>
      <c r="R313" s="4" t="str">
        <f t="shared" si="18"/>
        <v>Low</v>
      </c>
    </row>
    <row r="314" spans="1:18">
      <c r="A314" t="s">
        <v>527</v>
      </c>
      <c r="B314" s="2">
        <v>46079</v>
      </c>
      <c r="C314" s="3">
        <v>0.325694444444444</v>
      </c>
      <c r="D314" t="s">
        <v>528</v>
      </c>
      <c r="E314">
        <v>974.83</v>
      </c>
      <c r="F314" t="s">
        <v>31</v>
      </c>
      <c r="G314" t="s">
        <v>66</v>
      </c>
      <c r="H314" t="s">
        <v>9</v>
      </c>
      <c r="I314" t="s">
        <v>16</v>
      </c>
      <c r="J314" t="s">
        <v>18</v>
      </c>
      <c r="K314">
        <v>25</v>
      </c>
      <c r="L314" t="s">
        <v>49</v>
      </c>
      <c r="M314">
        <v>0</v>
      </c>
      <c r="N314">
        <f t="shared" si="19"/>
        <v>1</v>
      </c>
      <c r="P314" s="4">
        <f t="shared" si="16"/>
        <v>7</v>
      </c>
      <c r="Q314" s="4" t="str">
        <f t="shared" si="17"/>
        <v>Late Night</v>
      </c>
      <c r="R314" s="4" t="str">
        <f t="shared" si="18"/>
        <v>Low</v>
      </c>
    </row>
    <row r="315" spans="1:18">
      <c r="A315" t="s">
        <v>529</v>
      </c>
      <c r="B315" s="2">
        <v>46079</v>
      </c>
      <c r="C315" s="3">
        <v>0.250694444444444</v>
      </c>
      <c r="D315" t="s">
        <v>530</v>
      </c>
      <c r="E315">
        <v>87.35</v>
      </c>
      <c r="F315" t="s">
        <v>31</v>
      </c>
      <c r="G315" t="s">
        <v>66</v>
      </c>
      <c r="H315" t="s">
        <v>7</v>
      </c>
      <c r="I315" t="s">
        <v>16</v>
      </c>
      <c r="J315" t="s">
        <v>22</v>
      </c>
      <c r="K315">
        <v>48</v>
      </c>
      <c r="L315" t="s">
        <v>49</v>
      </c>
      <c r="M315">
        <v>0</v>
      </c>
      <c r="N315">
        <f t="shared" si="19"/>
        <v>1</v>
      </c>
      <c r="P315" s="4">
        <f t="shared" si="16"/>
        <v>6</v>
      </c>
      <c r="Q315" s="4" t="str">
        <f t="shared" si="17"/>
        <v>Late Night</v>
      </c>
      <c r="R315" s="4" t="str">
        <f t="shared" si="18"/>
        <v>Low</v>
      </c>
    </row>
    <row r="316" spans="1:18">
      <c r="A316" t="s">
        <v>531</v>
      </c>
      <c r="B316" s="2">
        <v>46079</v>
      </c>
      <c r="C316" s="3">
        <v>0.120138888888889</v>
      </c>
      <c r="D316" t="s">
        <v>328</v>
      </c>
      <c r="E316">
        <v>274.58</v>
      </c>
      <c r="F316" t="s">
        <v>29</v>
      </c>
      <c r="G316" t="s">
        <v>48</v>
      </c>
      <c r="H316" t="s">
        <v>7</v>
      </c>
      <c r="I316" t="s">
        <v>14</v>
      </c>
      <c r="J316" t="s">
        <v>18</v>
      </c>
      <c r="K316">
        <v>28</v>
      </c>
      <c r="L316" t="s">
        <v>49</v>
      </c>
      <c r="M316">
        <v>0</v>
      </c>
      <c r="N316">
        <f t="shared" si="19"/>
        <v>1</v>
      </c>
      <c r="P316" s="4">
        <f t="shared" si="16"/>
        <v>2</v>
      </c>
      <c r="Q316" s="4" t="str">
        <f t="shared" si="17"/>
        <v>Late Night</v>
      </c>
      <c r="R316" s="4" t="str">
        <f t="shared" si="18"/>
        <v>Low</v>
      </c>
    </row>
    <row r="317" spans="1:18">
      <c r="A317" t="s">
        <v>532</v>
      </c>
      <c r="B317" s="2">
        <v>46079</v>
      </c>
      <c r="C317" s="3">
        <v>0.685416666666667</v>
      </c>
      <c r="D317" t="s">
        <v>105</v>
      </c>
      <c r="E317">
        <v>106.84</v>
      </c>
      <c r="F317" t="s">
        <v>31</v>
      </c>
      <c r="G317" t="s">
        <v>66</v>
      </c>
      <c r="H317" t="s">
        <v>4</v>
      </c>
      <c r="I317" t="s">
        <v>15</v>
      </c>
      <c r="J317" t="s">
        <v>21</v>
      </c>
      <c r="K317">
        <v>62</v>
      </c>
      <c r="L317" t="s">
        <v>49</v>
      </c>
      <c r="M317">
        <v>0</v>
      </c>
      <c r="N317">
        <f t="shared" si="19"/>
        <v>1</v>
      </c>
      <c r="P317" s="4">
        <f t="shared" si="16"/>
        <v>16</v>
      </c>
      <c r="Q317" s="4" t="str">
        <f t="shared" si="17"/>
        <v>Late Night</v>
      </c>
      <c r="R317" s="4" t="str">
        <f t="shared" si="18"/>
        <v>Low</v>
      </c>
    </row>
    <row r="318" spans="1:18">
      <c r="A318" t="s">
        <v>533</v>
      </c>
      <c r="B318" s="2">
        <v>46079</v>
      </c>
      <c r="C318" s="3">
        <v>0.0333333333333333</v>
      </c>
      <c r="D318" t="s">
        <v>464</v>
      </c>
      <c r="E318">
        <v>26.15</v>
      </c>
      <c r="F318" t="s">
        <v>28</v>
      </c>
      <c r="G318" t="s">
        <v>66</v>
      </c>
      <c r="H318" t="s">
        <v>7</v>
      </c>
      <c r="I318" t="s">
        <v>15</v>
      </c>
      <c r="J318" t="s">
        <v>24</v>
      </c>
      <c r="K318">
        <v>24</v>
      </c>
      <c r="L318" t="s">
        <v>49</v>
      </c>
      <c r="M318">
        <v>0</v>
      </c>
      <c r="N318">
        <f t="shared" si="19"/>
        <v>1</v>
      </c>
      <c r="P318" s="4">
        <f t="shared" si="16"/>
        <v>0</v>
      </c>
      <c r="Q318" s="4" t="str">
        <f t="shared" si="17"/>
        <v>Late Night</v>
      </c>
      <c r="R318" s="4" t="str">
        <f t="shared" si="18"/>
        <v>Low</v>
      </c>
    </row>
    <row r="319" spans="1:18">
      <c r="A319" t="s">
        <v>534</v>
      </c>
      <c r="B319" s="2">
        <v>46080</v>
      </c>
      <c r="C319" s="3">
        <v>0.659027777777778</v>
      </c>
      <c r="D319" t="s">
        <v>116</v>
      </c>
      <c r="E319">
        <v>25.46</v>
      </c>
      <c r="F319" t="s">
        <v>29</v>
      </c>
      <c r="G319" t="s">
        <v>59</v>
      </c>
      <c r="H319" t="s">
        <v>8</v>
      </c>
      <c r="I319" t="s">
        <v>14</v>
      </c>
      <c r="J319" t="s">
        <v>18</v>
      </c>
      <c r="K319">
        <v>62</v>
      </c>
      <c r="L319" t="s">
        <v>49</v>
      </c>
      <c r="M319">
        <v>0</v>
      </c>
      <c r="N319">
        <f t="shared" si="19"/>
        <v>1</v>
      </c>
      <c r="P319" s="4">
        <f t="shared" si="16"/>
        <v>15</v>
      </c>
      <c r="Q319" s="4" t="str">
        <f t="shared" si="17"/>
        <v>Late Night</v>
      </c>
      <c r="R319" s="4" t="str">
        <f t="shared" si="18"/>
        <v>Low</v>
      </c>
    </row>
    <row r="320" spans="1:18">
      <c r="A320" t="s">
        <v>535</v>
      </c>
      <c r="B320" s="2">
        <v>46080</v>
      </c>
      <c r="C320" s="3">
        <v>0.478472222222222</v>
      </c>
      <c r="D320" t="s">
        <v>477</v>
      </c>
      <c r="E320">
        <v>65.72</v>
      </c>
      <c r="F320" t="s">
        <v>31</v>
      </c>
      <c r="G320" t="s">
        <v>66</v>
      </c>
      <c r="H320" t="s">
        <v>4</v>
      </c>
      <c r="I320" t="s">
        <v>15</v>
      </c>
      <c r="J320" t="s">
        <v>21</v>
      </c>
      <c r="K320">
        <v>19</v>
      </c>
      <c r="L320" t="s">
        <v>49</v>
      </c>
      <c r="M320">
        <v>0</v>
      </c>
      <c r="N320">
        <f t="shared" si="19"/>
        <v>1</v>
      </c>
      <c r="P320" s="4">
        <f t="shared" si="16"/>
        <v>11</v>
      </c>
      <c r="Q320" s="4" t="str">
        <f t="shared" si="17"/>
        <v>Late Night</v>
      </c>
      <c r="R320" s="4" t="str">
        <f t="shared" si="18"/>
        <v>Low</v>
      </c>
    </row>
    <row r="321" spans="1:18">
      <c r="A321" t="s">
        <v>536</v>
      </c>
      <c r="B321" s="2">
        <v>46080</v>
      </c>
      <c r="C321" s="3">
        <v>0.775694444444444</v>
      </c>
      <c r="D321" t="s">
        <v>342</v>
      </c>
      <c r="E321">
        <v>93.84</v>
      </c>
      <c r="F321" t="s">
        <v>28</v>
      </c>
      <c r="G321" t="s">
        <v>66</v>
      </c>
      <c r="H321" t="s">
        <v>9</v>
      </c>
      <c r="I321" t="s">
        <v>15</v>
      </c>
      <c r="J321" t="s">
        <v>18</v>
      </c>
      <c r="K321">
        <v>23</v>
      </c>
      <c r="L321" t="s">
        <v>159</v>
      </c>
      <c r="M321">
        <v>0</v>
      </c>
      <c r="N321">
        <f t="shared" si="19"/>
        <v>1</v>
      </c>
      <c r="P321" s="4">
        <f t="shared" si="16"/>
        <v>18</v>
      </c>
      <c r="Q321" s="4" t="str">
        <f t="shared" si="17"/>
        <v>Late Night</v>
      </c>
      <c r="R321" s="4" t="str">
        <f t="shared" si="18"/>
        <v>Low</v>
      </c>
    </row>
    <row r="322" spans="1:18">
      <c r="A322" t="s">
        <v>537</v>
      </c>
      <c r="B322" s="2">
        <v>46080</v>
      </c>
      <c r="C322" s="3">
        <v>0.909722222222222</v>
      </c>
      <c r="D322" t="s">
        <v>77</v>
      </c>
      <c r="E322">
        <v>1592.32</v>
      </c>
      <c r="F322" t="s">
        <v>31</v>
      </c>
      <c r="G322" t="s">
        <v>59</v>
      </c>
      <c r="H322" t="s">
        <v>10</v>
      </c>
      <c r="I322" t="s">
        <v>15</v>
      </c>
      <c r="J322" t="s">
        <v>18</v>
      </c>
      <c r="K322">
        <v>58</v>
      </c>
      <c r="L322" t="s">
        <v>49</v>
      </c>
      <c r="M322">
        <v>0</v>
      </c>
      <c r="N322">
        <f t="shared" si="19"/>
        <v>1</v>
      </c>
      <c r="P322" s="4">
        <f t="shared" ref="P322:P385" si="20">HOUR(C322)</f>
        <v>21</v>
      </c>
      <c r="Q322" s="4" t="str">
        <f t="shared" ref="Q322:Q385" si="21">IF(N322&lt;6,"Late Night",IF(N322&lt;12,"Morning",IF(N322&lt;18,"Afternoon","Evening")))</f>
        <v>Late Night</v>
      </c>
      <c r="R322" s="4" t="str">
        <f t="shared" ref="R322:R385" si="22">IF(E322&lt;1000,"Low",IF(E322&lt;5000,"Medium",IF(E322&lt;15000,"High","Very High")))</f>
        <v>Medium</v>
      </c>
    </row>
    <row r="323" spans="1:18">
      <c r="A323" t="s">
        <v>538</v>
      </c>
      <c r="B323" s="2">
        <v>46080</v>
      </c>
      <c r="C323" s="3">
        <v>0.91875</v>
      </c>
      <c r="D323" t="s">
        <v>58</v>
      </c>
      <c r="E323">
        <v>364.45</v>
      </c>
      <c r="F323" t="s">
        <v>32</v>
      </c>
      <c r="G323" t="s">
        <v>48</v>
      </c>
      <c r="H323" t="s">
        <v>6</v>
      </c>
      <c r="I323" t="s">
        <v>15</v>
      </c>
      <c r="J323" t="s">
        <v>20</v>
      </c>
      <c r="K323">
        <v>49</v>
      </c>
      <c r="L323" t="s">
        <v>49</v>
      </c>
      <c r="M323">
        <v>0</v>
      </c>
      <c r="N323">
        <f t="shared" ref="N323:N386" si="23">COUNTIF($A$2:$A$1001,A323)</f>
        <v>1</v>
      </c>
      <c r="P323" s="4">
        <f t="shared" si="20"/>
        <v>22</v>
      </c>
      <c r="Q323" s="4" t="str">
        <f t="shared" si="21"/>
        <v>Late Night</v>
      </c>
      <c r="R323" s="4" t="str">
        <f t="shared" si="22"/>
        <v>Low</v>
      </c>
    </row>
    <row r="324" spans="1:18">
      <c r="A324" t="s">
        <v>539</v>
      </c>
      <c r="B324" s="2">
        <v>46081</v>
      </c>
      <c r="C324" s="3">
        <v>0.875</v>
      </c>
      <c r="D324" t="s">
        <v>139</v>
      </c>
      <c r="E324">
        <v>398.75</v>
      </c>
      <c r="F324" t="s">
        <v>28</v>
      </c>
      <c r="G324" t="s">
        <v>54</v>
      </c>
      <c r="H324" t="s">
        <v>6</v>
      </c>
      <c r="I324" t="s">
        <v>15</v>
      </c>
      <c r="J324" t="s">
        <v>22</v>
      </c>
      <c r="K324">
        <v>37</v>
      </c>
      <c r="L324" t="s">
        <v>49</v>
      </c>
      <c r="M324">
        <v>0</v>
      </c>
      <c r="N324">
        <f t="shared" si="23"/>
        <v>1</v>
      </c>
      <c r="P324" s="4">
        <f t="shared" si="20"/>
        <v>21</v>
      </c>
      <c r="Q324" s="4" t="str">
        <f t="shared" si="21"/>
        <v>Late Night</v>
      </c>
      <c r="R324" s="4" t="str">
        <f t="shared" si="22"/>
        <v>Low</v>
      </c>
    </row>
    <row r="325" spans="1:18">
      <c r="A325" t="s">
        <v>540</v>
      </c>
      <c r="B325" s="2">
        <v>46081</v>
      </c>
      <c r="C325" s="3">
        <v>0.546527777777778</v>
      </c>
      <c r="D325" t="s">
        <v>131</v>
      </c>
      <c r="E325">
        <v>95.86</v>
      </c>
      <c r="F325" t="s">
        <v>30</v>
      </c>
      <c r="G325" t="s">
        <v>48</v>
      </c>
      <c r="H325" t="s">
        <v>9</v>
      </c>
      <c r="I325" t="s">
        <v>15</v>
      </c>
      <c r="J325" t="s">
        <v>24</v>
      </c>
      <c r="K325">
        <v>51</v>
      </c>
      <c r="L325" t="s">
        <v>49</v>
      </c>
      <c r="M325">
        <v>0</v>
      </c>
      <c r="N325">
        <f t="shared" si="23"/>
        <v>1</v>
      </c>
      <c r="P325" s="4">
        <f t="shared" si="20"/>
        <v>13</v>
      </c>
      <c r="Q325" s="4" t="str">
        <f t="shared" si="21"/>
        <v>Late Night</v>
      </c>
      <c r="R325" s="4" t="str">
        <f t="shared" si="22"/>
        <v>Low</v>
      </c>
    </row>
    <row r="326" spans="1:18">
      <c r="A326" t="s">
        <v>541</v>
      </c>
      <c r="B326" s="2">
        <v>46081</v>
      </c>
      <c r="C326" s="3">
        <v>0.227777777777778</v>
      </c>
      <c r="D326" t="s">
        <v>542</v>
      </c>
      <c r="E326">
        <v>192.74</v>
      </c>
      <c r="F326" t="s">
        <v>28</v>
      </c>
      <c r="G326" t="s">
        <v>54</v>
      </c>
      <c r="H326" t="s">
        <v>9</v>
      </c>
      <c r="I326" t="s">
        <v>15</v>
      </c>
      <c r="J326" t="s">
        <v>22</v>
      </c>
      <c r="K326">
        <v>33</v>
      </c>
      <c r="L326" t="s">
        <v>159</v>
      </c>
      <c r="M326">
        <v>0</v>
      </c>
      <c r="N326">
        <f t="shared" si="23"/>
        <v>1</v>
      </c>
      <c r="P326" s="4">
        <f t="shared" si="20"/>
        <v>5</v>
      </c>
      <c r="Q326" s="4" t="str">
        <f t="shared" si="21"/>
        <v>Late Night</v>
      </c>
      <c r="R326" s="4" t="str">
        <f t="shared" si="22"/>
        <v>Low</v>
      </c>
    </row>
    <row r="327" spans="1:18">
      <c r="A327" t="s">
        <v>543</v>
      </c>
      <c r="B327" s="2">
        <v>46081</v>
      </c>
      <c r="C327" s="3">
        <v>0.245833333333333</v>
      </c>
      <c r="D327" t="s">
        <v>368</v>
      </c>
      <c r="E327">
        <v>1819.2</v>
      </c>
      <c r="F327" t="s">
        <v>31</v>
      </c>
      <c r="G327" t="s">
        <v>54</v>
      </c>
      <c r="H327" t="s">
        <v>8</v>
      </c>
      <c r="I327" t="s">
        <v>14</v>
      </c>
      <c r="J327" t="s">
        <v>23</v>
      </c>
      <c r="K327">
        <v>42</v>
      </c>
      <c r="L327" t="s">
        <v>49</v>
      </c>
      <c r="M327">
        <v>0</v>
      </c>
      <c r="N327">
        <f t="shared" si="23"/>
        <v>1</v>
      </c>
      <c r="P327" s="4">
        <f t="shared" si="20"/>
        <v>5</v>
      </c>
      <c r="Q327" s="4" t="str">
        <f t="shared" si="21"/>
        <v>Late Night</v>
      </c>
      <c r="R327" s="4" t="str">
        <f t="shared" si="22"/>
        <v>Medium</v>
      </c>
    </row>
    <row r="328" spans="1:18">
      <c r="A328" t="s">
        <v>544</v>
      </c>
      <c r="B328" s="2">
        <v>46081</v>
      </c>
      <c r="C328" s="3">
        <v>0.526388888888889</v>
      </c>
      <c r="D328" t="s">
        <v>424</v>
      </c>
      <c r="E328">
        <v>53.82</v>
      </c>
      <c r="F328" t="s">
        <v>29</v>
      </c>
      <c r="G328" t="s">
        <v>48</v>
      </c>
      <c r="H328" t="s">
        <v>3</v>
      </c>
      <c r="I328" t="s">
        <v>15</v>
      </c>
      <c r="J328" t="s">
        <v>20</v>
      </c>
      <c r="K328">
        <v>29</v>
      </c>
      <c r="L328" t="s">
        <v>49</v>
      </c>
      <c r="M328">
        <v>0</v>
      </c>
      <c r="N328">
        <f t="shared" si="23"/>
        <v>1</v>
      </c>
      <c r="P328" s="4">
        <f t="shared" si="20"/>
        <v>12</v>
      </c>
      <c r="Q328" s="4" t="str">
        <f t="shared" si="21"/>
        <v>Late Night</v>
      </c>
      <c r="R328" s="4" t="str">
        <f t="shared" si="22"/>
        <v>Low</v>
      </c>
    </row>
    <row r="329" spans="1:18">
      <c r="A329" t="s">
        <v>545</v>
      </c>
      <c r="B329" s="2">
        <v>46081</v>
      </c>
      <c r="C329" s="3">
        <v>0.751388888888889</v>
      </c>
      <c r="D329" t="s">
        <v>197</v>
      </c>
      <c r="E329">
        <v>286.07</v>
      </c>
      <c r="F329" t="s">
        <v>32</v>
      </c>
      <c r="G329" t="s">
        <v>54</v>
      </c>
      <c r="H329" t="s">
        <v>10</v>
      </c>
      <c r="I329" t="s">
        <v>16</v>
      </c>
      <c r="J329" t="s">
        <v>20</v>
      </c>
      <c r="K329">
        <v>24</v>
      </c>
      <c r="L329" t="s">
        <v>49</v>
      </c>
      <c r="M329">
        <v>0</v>
      </c>
      <c r="N329">
        <f t="shared" si="23"/>
        <v>1</v>
      </c>
      <c r="P329" s="4">
        <f t="shared" si="20"/>
        <v>18</v>
      </c>
      <c r="Q329" s="4" t="str">
        <f t="shared" si="21"/>
        <v>Late Night</v>
      </c>
      <c r="R329" s="4" t="str">
        <f t="shared" si="22"/>
        <v>Low</v>
      </c>
    </row>
    <row r="330" spans="1:18">
      <c r="A330" t="s">
        <v>546</v>
      </c>
      <c r="B330" s="2">
        <v>46082</v>
      </c>
      <c r="C330" s="3">
        <v>0.896527777777778</v>
      </c>
      <c r="D330" t="s">
        <v>172</v>
      </c>
      <c r="E330">
        <v>908.05</v>
      </c>
      <c r="F330" t="s">
        <v>29</v>
      </c>
      <c r="G330" t="s">
        <v>48</v>
      </c>
      <c r="H330" t="s">
        <v>9</v>
      </c>
      <c r="I330" t="s">
        <v>15</v>
      </c>
      <c r="J330" t="s">
        <v>22</v>
      </c>
      <c r="K330">
        <v>56</v>
      </c>
      <c r="L330" t="s">
        <v>159</v>
      </c>
      <c r="M330">
        <v>0</v>
      </c>
      <c r="N330">
        <f t="shared" si="23"/>
        <v>1</v>
      </c>
      <c r="P330" s="4">
        <f t="shared" si="20"/>
        <v>21</v>
      </c>
      <c r="Q330" s="4" t="str">
        <f t="shared" si="21"/>
        <v>Late Night</v>
      </c>
      <c r="R330" s="4" t="str">
        <f t="shared" si="22"/>
        <v>Low</v>
      </c>
    </row>
    <row r="331" spans="1:18">
      <c r="A331" t="s">
        <v>547</v>
      </c>
      <c r="B331" s="2">
        <v>46082</v>
      </c>
      <c r="C331" s="3">
        <v>0.297916666666667</v>
      </c>
      <c r="D331" t="s">
        <v>147</v>
      </c>
      <c r="E331">
        <v>476.25</v>
      </c>
      <c r="F331" t="s">
        <v>30</v>
      </c>
      <c r="G331" t="s">
        <v>66</v>
      </c>
      <c r="H331" t="s">
        <v>7</v>
      </c>
      <c r="I331" t="s">
        <v>14</v>
      </c>
      <c r="J331" t="s">
        <v>19</v>
      </c>
      <c r="K331">
        <v>34</v>
      </c>
      <c r="L331" t="s">
        <v>49</v>
      </c>
      <c r="M331">
        <v>0</v>
      </c>
      <c r="N331">
        <f t="shared" si="23"/>
        <v>1</v>
      </c>
      <c r="P331" s="4">
        <f t="shared" si="20"/>
        <v>7</v>
      </c>
      <c r="Q331" s="4" t="str">
        <f t="shared" si="21"/>
        <v>Late Night</v>
      </c>
      <c r="R331" s="4" t="str">
        <f t="shared" si="22"/>
        <v>Low</v>
      </c>
    </row>
    <row r="332" spans="1:18">
      <c r="A332" t="s">
        <v>548</v>
      </c>
      <c r="B332" s="2">
        <v>46082</v>
      </c>
      <c r="C332" s="3">
        <v>0.0479166666666667</v>
      </c>
      <c r="D332" t="s">
        <v>206</v>
      </c>
      <c r="E332">
        <v>1098.32</v>
      </c>
      <c r="F332" t="s">
        <v>30</v>
      </c>
      <c r="G332" t="s">
        <v>71</v>
      </c>
      <c r="H332" t="s">
        <v>8</v>
      </c>
      <c r="I332" t="s">
        <v>15</v>
      </c>
      <c r="J332" t="s">
        <v>20</v>
      </c>
      <c r="K332">
        <v>62</v>
      </c>
      <c r="L332" t="s">
        <v>49</v>
      </c>
      <c r="M332">
        <v>0</v>
      </c>
      <c r="N332">
        <f t="shared" si="23"/>
        <v>1</v>
      </c>
      <c r="P332" s="4">
        <f t="shared" si="20"/>
        <v>1</v>
      </c>
      <c r="Q332" s="4" t="str">
        <f t="shared" si="21"/>
        <v>Late Night</v>
      </c>
      <c r="R332" s="4" t="str">
        <f t="shared" si="22"/>
        <v>Medium</v>
      </c>
    </row>
    <row r="333" spans="1:18">
      <c r="A333" t="s">
        <v>549</v>
      </c>
      <c r="B333" s="2">
        <v>46082</v>
      </c>
      <c r="C333" s="3">
        <v>0.845833333333333</v>
      </c>
      <c r="D333" t="s">
        <v>253</v>
      </c>
      <c r="E333">
        <v>224.27</v>
      </c>
      <c r="F333" t="s">
        <v>31</v>
      </c>
      <c r="G333" t="s">
        <v>48</v>
      </c>
      <c r="H333" t="s">
        <v>6</v>
      </c>
      <c r="I333" t="s">
        <v>14</v>
      </c>
      <c r="J333" t="s">
        <v>22</v>
      </c>
      <c r="K333">
        <v>28</v>
      </c>
      <c r="L333" t="s">
        <v>49</v>
      </c>
      <c r="M333">
        <v>0</v>
      </c>
      <c r="N333">
        <f t="shared" si="23"/>
        <v>1</v>
      </c>
      <c r="P333" s="4">
        <f t="shared" si="20"/>
        <v>20</v>
      </c>
      <c r="Q333" s="4" t="str">
        <f t="shared" si="21"/>
        <v>Late Night</v>
      </c>
      <c r="R333" s="4" t="str">
        <f t="shared" si="22"/>
        <v>Low</v>
      </c>
    </row>
    <row r="334" spans="1:18">
      <c r="A334" t="s">
        <v>550</v>
      </c>
      <c r="B334" s="2">
        <v>46082</v>
      </c>
      <c r="C334" s="3">
        <v>0.03125</v>
      </c>
      <c r="D334" t="s">
        <v>486</v>
      </c>
      <c r="E334">
        <v>331.44</v>
      </c>
      <c r="F334" t="s">
        <v>31</v>
      </c>
      <c r="G334" t="s">
        <v>71</v>
      </c>
      <c r="H334" t="s">
        <v>5</v>
      </c>
      <c r="I334" t="s">
        <v>15</v>
      </c>
      <c r="J334" t="s">
        <v>20</v>
      </c>
      <c r="K334">
        <v>23</v>
      </c>
      <c r="L334" t="s">
        <v>49</v>
      </c>
      <c r="M334">
        <v>0</v>
      </c>
      <c r="N334">
        <f t="shared" si="23"/>
        <v>1</v>
      </c>
      <c r="P334" s="4">
        <f t="shared" si="20"/>
        <v>0</v>
      </c>
      <c r="Q334" s="4" t="str">
        <f t="shared" si="21"/>
        <v>Late Night</v>
      </c>
      <c r="R334" s="4" t="str">
        <f t="shared" si="22"/>
        <v>Low</v>
      </c>
    </row>
    <row r="335" spans="1:18">
      <c r="A335" t="s">
        <v>551</v>
      </c>
      <c r="B335" s="2">
        <v>46083</v>
      </c>
      <c r="C335" s="3">
        <v>0.60625</v>
      </c>
      <c r="D335" t="s">
        <v>105</v>
      </c>
      <c r="E335">
        <v>202.3</v>
      </c>
      <c r="F335" t="s">
        <v>29</v>
      </c>
      <c r="G335" t="s">
        <v>59</v>
      </c>
      <c r="H335" t="s">
        <v>8</v>
      </c>
      <c r="I335" t="s">
        <v>14</v>
      </c>
      <c r="J335" t="s">
        <v>18</v>
      </c>
      <c r="K335">
        <v>40</v>
      </c>
      <c r="L335" t="s">
        <v>168</v>
      </c>
      <c r="M335">
        <v>1</v>
      </c>
      <c r="N335">
        <f t="shared" si="23"/>
        <v>1</v>
      </c>
      <c r="P335" s="4">
        <f t="shared" si="20"/>
        <v>14</v>
      </c>
      <c r="Q335" s="4" t="str">
        <f t="shared" si="21"/>
        <v>Late Night</v>
      </c>
      <c r="R335" s="4" t="str">
        <f t="shared" si="22"/>
        <v>Low</v>
      </c>
    </row>
    <row r="336" spans="1:18">
      <c r="A336" t="s">
        <v>552</v>
      </c>
      <c r="B336" s="2">
        <v>46083</v>
      </c>
      <c r="C336" s="3">
        <v>0.0409722222222222</v>
      </c>
      <c r="D336" t="s">
        <v>408</v>
      </c>
      <c r="E336">
        <v>309</v>
      </c>
      <c r="F336" t="s">
        <v>28</v>
      </c>
      <c r="G336" t="s">
        <v>48</v>
      </c>
      <c r="H336" t="s">
        <v>6</v>
      </c>
      <c r="I336" t="s">
        <v>15</v>
      </c>
      <c r="J336" t="s">
        <v>22</v>
      </c>
      <c r="K336">
        <v>44</v>
      </c>
      <c r="L336" t="s">
        <v>49</v>
      </c>
      <c r="M336">
        <v>0</v>
      </c>
      <c r="N336">
        <f t="shared" si="23"/>
        <v>1</v>
      </c>
      <c r="P336" s="4">
        <f t="shared" si="20"/>
        <v>0</v>
      </c>
      <c r="Q336" s="4" t="str">
        <f t="shared" si="21"/>
        <v>Late Night</v>
      </c>
      <c r="R336" s="4" t="str">
        <f t="shared" si="22"/>
        <v>Low</v>
      </c>
    </row>
    <row r="337" spans="1:18">
      <c r="A337" t="s">
        <v>553</v>
      </c>
      <c r="B337" s="2">
        <v>46083</v>
      </c>
      <c r="C337" s="3">
        <v>0.188888888888889</v>
      </c>
      <c r="D337" t="s">
        <v>554</v>
      </c>
      <c r="E337">
        <v>72.59</v>
      </c>
      <c r="F337" t="s">
        <v>30</v>
      </c>
      <c r="G337" t="s">
        <v>48</v>
      </c>
      <c r="H337" t="s">
        <v>4</v>
      </c>
      <c r="I337" t="s">
        <v>14</v>
      </c>
      <c r="J337" t="s">
        <v>22</v>
      </c>
      <c r="K337">
        <v>63</v>
      </c>
      <c r="L337" t="s">
        <v>49</v>
      </c>
      <c r="M337">
        <v>1</v>
      </c>
      <c r="N337">
        <f t="shared" si="23"/>
        <v>1</v>
      </c>
      <c r="P337" s="4">
        <f t="shared" si="20"/>
        <v>4</v>
      </c>
      <c r="Q337" s="4" t="str">
        <f t="shared" si="21"/>
        <v>Late Night</v>
      </c>
      <c r="R337" s="4" t="str">
        <f t="shared" si="22"/>
        <v>Low</v>
      </c>
    </row>
    <row r="338" spans="1:18">
      <c r="A338" t="s">
        <v>555</v>
      </c>
      <c r="B338" s="2">
        <v>46083</v>
      </c>
      <c r="C338" s="3">
        <v>0.640277777777778</v>
      </c>
      <c r="D338" t="s">
        <v>143</v>
      </c>
      <c r="E338">
        <v>400.35</v>
      </c>
      <c r="F338" t="s">
        <v>30</v>
      </c>
      <c r="G338" t="s">
        <v>54</v>
      </c>
      <c r="H338" t="s">
        <v>8</v>
      </c>
      <c r="I338" t="s">
        <v>16</v>
      </c>
      <c r="J338" t="s">
        <v>21</v>
      </c>
      <c r="K338">
        <v>23</v>
      </c>
      <c r="L338" t="s">
        <v>49</v>
      </c>
      <c r="M338">
        <v>0</v>
      </c>
      <c r="N338">
        <f t="shared" si="23"/>
        <v>1</v>
      </c>
      <c r="P338" s="4">
        <f t="shared" si="20"/>
        <v>15</v>
      </c>
      <c r="Q338" s="4" t="str">
        <f t="shared" si="21"/>
        <v>Late Night</v>
      </c>
      <c r="R338" s="4" t="str">
        <f t="shared" si="22"/>
        <v>Low</v>
      </c>
    </row>
    <row r="339" spans="1:18">
      <c r="A339" t="s">
        <v>556</v>
      </c>
      <c r="B339" s="2">
        <v>46083</v>
      </c>
      <c r="C339" s="3">
        <v>0.7875</v>
      </c>
      <c r="D339" t="s">
        <v>502</v>
      </c>
      <c r="E339">
        <v>243.29</v>
      </c>
      <c r="F339" t="s">
        <v>31</v>
      </c>
      <c r="G339" t="s">
        <v>66</v>
      </c>
      <c r="H339" t="s">
        <v>6</v>
      </c>
      <c r="I339" t="s">
        <v>15</v>
      </c>
      <c r="J339" t="s">
        <v>20</v>
      </c>
      <c r="K339">
        <v>55</v>
      </c>
      <c r="L339" t="s">
        <v>49</v>
      </c>
      <c r="M339">
        <v>0</v>
      </c>
      <c r="N339">
        <f t="shared" si="23"/>
        <v>1</v>
      </c>
      <c r="P339" s="4">
        <f t="shared" si="20"/>
        <v>18</v>
      </c>
      <c r="Q339" s="4" t="str">
        <f t="shared" si="21"/>
        <v>Late Night</v>
      </c>
      <c r="R339" s="4" t="str">
        <f t="shared" si="22"/>
        <v>Low</v>
      </c>
    </row>
    <row r="340" spans="1:18">
      <c r="A340" t="s">
        <v>557</v>
      </c>
      <c r="B340" s="2">
        <v>46083</v>
      </c>
      <c r="C340" s="3">
        <v>0.14375</v>
      </c>
      <c r="D340" t="s">
        <v>364</v>
      </c>
      <c r="E340">
        <v>192.99</v>
      </c>
      <c r="F340" t="s">
        <v>31</v>
      </c>
      <c r="G340" t="s">
        <v>59</v>
      </c>
      <c r="H340" t="s">
        <v>3</v>
      </c>
      <c r="I340" t="s">
        <v>15</v>
      </c>
      <c r="J340" t="s">
        <v>20</v>
      </c>
      <c r="K340">
        <v>19</v>
      </c>
      <c r="L340" t="s">
        <v>49</v>
      </c>
      <c r="M340">
        <v>1</v>
      </c>
      <c r="N340">
        <f t="shared" si="23"/>
        <v>1</v>
      </c>
      <c r="P340" s="4">
        <f t="shared" si="20"/>
        <v>3</v>
      </c>
      <c r="Q340" s="4" t="str">
        <f t="shared" si="21"/>
        <v>Late Night</v>
      </c>
      <c r="R340" s="4" t="str">
        <f t="shared" si="22"/>
        <v>Low</v>
      </c>
    </row>
    <row r="341" spans="1:18">
      <c r="A341" t="s">
        <v>558</v>
      </c>
      <c r="B341" s="2">
        <v>46084</v>
      </c>
      <c r="C341" s="3">
        <v>0.104861111111111</v>
      </c>
      <c r="D341" t="s">
        <v>91</v>
      </c>
      <c r="E341">
        <v>1039.39</v>
      </c>
      <c r="F341" t="s">
        <v>29</v>
      </c>
      <c r="G341" t="s">
        <v>48</v>
      </c>
      <c r="H341" t="s">
        <v>8</v>
      </c>
      <c r="I341" t="s">
        <v>14</v>
      </c>
      <c r="J341" t="s">
        <v>22</v>
      </c>
      <c r="K341">
        <v>39</v>
      </c>
      <c r="L341" t="s">
        <v>168</v>
      </c>
      <c r="M341">
        <v>1</v>
      </c>
      <c r="N341">
        <f t="shared" si="23"/>
        <v>1</v>
      </c>
      <c r="P341" s="4">
        <f t="shared" si="20"/>
        <v>2</v>
      </c>
      <c r="Q341" s="4" t="str">
        <f t="shared" si="21"/>
        <v>Late Night</v>
      </c>
      <c r="R341" s="4" t="str">
        <f t="shared" si="22"/>
        <v>Medium</v>
      </c>
    </row>
    <row r="342" spans="1:18">
      <c r="A342" t="s">
        <v>559</v>
      </c>
      <c r="B342" s="2">
        <v>46084</v>
      </c>
      <c r="C342" s="3">
        <v>0.700694444444444</v>
      </c>
      <c r="D342" t="s">
        <v>502</v>
      </c>
      <c r="E342">
        <v>139.02</v>
      </c>
      <c r="F342" t="s">
        <v>31</v>
      </c>
      <c r="G342" t="s">
        <v>48</v>
      </c>
      <c r="H342" t="s">
        <v>8</v>
      </c>
      <c r="I342" t="s">
        <v>15</v>
      </c>
      <c r="J342" t="s">
        <v>18</v>
      </c>
      <c r="K342">
        <v>37</v>
      </c>
      <c r="L342" t="s">
        <v>49</v>
      </c>
      <c r="M342">
        <v>0</v>
      </c>
      <c r="N342">
        <f t="shared" si="23"/>
        <v>1</v>
      </c>
      <c r="P342" s="4">
        <f t="shared" si="20"/>
        <v>16</v>
      </c>
      <c r="Q342" s="4" t="str">
        <f t="shared" si="21"/>
        <v>Late Night</v>
      </c>
      <c r="R342" s="4" t="str">
        <f t="shared" si="22"/>
        <v>Low</v>
      </c>
    </row>
    <row r="343" spans="1:18">
      <c r="A343" t="s">
        <v>560</v>
      </c>
      <c r="B343" s="2">
        <v>46084</v>
      </c>
      <c r="C343" s="3">
        <v>0.670833333333333</v>
      </c>
      <c r="D343" t="s">
        <v>241</v>
      </c>
      <c r="E343">
        <v>606.57</v>
      </c>
      <c r="F343" t="s">
        <v>30</v>
      </c>
      <c r="G343" t="s">
        <v>54</v>
      </c>
      <c r="H343" t="s">
        <v>10</v>
      </c>
      <c r="I343" t="s">
        <v>14</v>
      </c>
      <c r="J343" t="s">
        <v>18</v>
      </c>
      <c r="K343">
        <v>42</v>
      </c>
      <c r="L343" t="s">
        <v>49</v>
      </c>
      <c r="M343">
        <v>0</v>
      </c>
      <c r="N343">
        <f t="shared" si="23"/>
        <v>1</v>
      </c>
      <c r="P343" s="4">
        <f t="shared" si="20"/>
        <v>16</v>
      </c>
      <c r="Q343" s="4" t="str">
        <f t="shared" si="21"/>
        <v>Late Night</v>
      </c>
      <c r="R343" s="4" t="str">
        <f t="shared" si="22"/>
        <v>Low</v>
      </c>
    </row>
    <row r="344" spans="1:18">
      <c r="A344" t="s">
        <v>561</v>
      </c>
      <c r="B344" s="2">
        <v>46084</v>
      </c>
      <c r="C344" s="3">
        <v>0.477777777777778</v>
      </c>
      <c r="D344" t="s">
        <v>296</v>
      </c>
      <c r="E344">
        <v>670</v>
      </c>
      <c r="F344" t="s">
        <v>28</v>
      </c>
      <c r="G344" t="s">
        <v>48</v>
      </c>
      <c r="H344" t="s">
        <v>9</v>
      </c>
      <c r="I344" t="s">
        <v>15</v>
      </c>
      <c r="J344" t="s">
        <v>24</v>
      </c>
      <c r="K344">
        <v>32</v>
      </c>
      <c r="L344" t="s">
        <v>49</v>
      </c>
      <c r="M344">
        <v>0</v>
      </c>
      <c r="N344">
        <f t="shared" si="23"/>
        <v>1</v>
      </c>
      <c r="P344" s="4">
        <f t="shared" si="20"/>
        <v>11</v>
      </c>
      <c r="Q344" s="4" t="str">
        <f t="shared" si="21"/>
        <v>Late Night</v>
      </c>
      <c r="R344" s="4" t="str">
        <f t="shared" si="22"/>
        <v>Low</v>
      </c>
    </row>
    <row r="345" spans="1:18">
      <c r="A345" t="s">
        <v>562</v>
      </c>
      <c r="B345" s="2">
        <v>46084</v>
      </c>
      <c r="C345" s="3">
        <v>0.546527777777778</v>
      </c>
      <c r="D345" t="s">
        <v>91</v>
      </c>
      <c r="E345">
        <v>426.47</v>
      </c>
      <c r="F345" t="s">
        <v>29</v>
      </c>
      <c r="G345" t="s">
        <v>48</v>
      </c>
      <c r="H345" t="s">
        <v>10</v>
      </c>
      <c r="I345" t="s">
        <v>15</v>
      </c>
      <c r="J345" t="s">
        <v>18</v>
      </c>
      <c r="K345">
        <v>46</v>
      </c>
      <c r="L345" t="s">
        <v>49</v>
      </c>
      <c r="M345">
        <v>0</v>
      </c>
      <c r="N345">
        <f t="shared" si="23"/>
        <v>1</v>
      </c>
      <c r="P345" s="4">
        <f t="shared" si="20"/>
        <v>13</v>
      </c>
      <c r="Q345" s="4" t="str">
        <f t="shared" si="21"/>
        <v>Late Night</v>
      </c>
      <c r="R345" s="4" t="str">
        <f t="shared" si="22"/>
        <v>Low</v>
      </c>
    </row>
    <row r="346" spans="1:18">
      <c r="A346" t="s">
        <v>563</v>
      </c>
      <c r="B346" s="2">
        <v>46084</v>
      </c>
      <c r="C346" s="3">
        <v>0.833333333333333</v>
      </c>
      <c r="D346" t="s">
        <v>526</v>
      </c>
      <c r="E346">
        <v>69.05</v>
      </c>
      <c r="F346" t="s">
        <v>31</v>
      </c>
      <c r="G346" t="s">
        <v>48</v>
      </c>
      <c r="H346" t="s">
        <v>8</v>
      </c>
      <c r="I346" t="s">
        <v>16</v>
      </c>
      <c r="J346" t="s">
        <v>20</v>
      </c>
      <c r="K346">
        <v>25</v>
      </c>
      <c r="L346" t="s">
        <v>49</v>
      </c>
      <c r="M346">
        <v>0</v>
      </c>
      <c r="N346">
        <f t="shared" si="23"/>
        <v>1</v>
      </c>
      <c r="P346" s="4">
        <f t="shared" si="20"/>
        <v>20</v>
      </c>
      <c r="Q346" s="4" t="str">
        <f t="shared" si="21"/>
        <v>Late Night</v>
      </c>
      <c r="R346" s="4" t="str">
        <f t="shared" si="22"/>
        <v>Low</v>
      </c>
    </row>
    <row r="347" spans="1:18">
      <c r="A347" t="s">
        <v>564</v>
      </c>
      <c r="B347" s="2">
        <v>46085</v>
      </c>
      <c r="C347" s="3">
        <v>0.247222222222222</v>
      </c>
      <c r="D347" t="s">
        <v>477</v>
      </c>
      <c r="E347">
        <v>259.58</v>
      </c>
      <c r="F347" t="s">
        <v>29</v>
      </c>
      <c r="G347" t="s">
        <v>66</v>
      </c>
      <c r="H347" t="s">
        <v>9</v>
      </c>
      <c r="I347" t="s">
        <v>15</v>
      </c>
      <c r="J347" t="s">
        <v>19</v>
      </c>
      <c r="K347">
        <v>54</v>
      </c>
      <c r="L347" t="s">
        <v>49</v>
      </c>
      <c r="M347">
        <v>0</v>
      </c>
      <c r="N347">
        <f t="shared" si="23"/>
        <v>1</v>
      </c>
      <c r="P347" s="4">
        <f t="shared" si="20"/>
        <v>5</v>
      </c>
      <c r="Q347" s="4" t="str">
        <f t="shared" si="21"/>
        <v>Late Night</v>
      </c>
      <c r="R347" s="4" t="str">
        <f t="shared" si="22"/>
        <v>Low</v>
      </c>
    </row>
    <row r="348" spans="1:18">
      <c r="A348" t="s">
        <v>565</v>
      </c>
      <c r="B348" s="2">
        <v>46085</v>
      </c>
      <c r="C348" s="3">
        <v>0.120833333333333</v>
      </c>
      <c r="D348" t="s">
        <v>364</v>
      </c>
      <c r="E348">
        <v>1284.95</v>
      </c>
      <c r="F348" t="s">
        <v>28</v>
      </c>
      <c r="G348" t="s">
        <v>71</v>
      </c>
      <c r="H348" t="s">
        <v>6</v>
      </c>
      <c r="I348" t="s">
        <v>14</v>
      </c>
      <c r="J348" t="s">
        <v>21</v>
      </c>
      <c r="K348">
        <v>50</v>
      </c>
      <c r="L348" t="s">
        <v>168</v>
      </c>
      <c r="M348">
        <v>1</v>
      </c>
      <c r="N348">
        <f t="shared" si="23"/>
        <v>1</v>
      </c>
      <c r="P348" s="4">
        <f t="shared" si="20"/>
        <v>2</v>
      </c>
      <c r="Q348" s="4" t="str">
        <f t="shared" si="21"/>
        <v>Late Night</v>
      </c>
      <c r="R348" s="4" t="str">
        <f t="shared" si="22"/>
        <v>Medium</v>
      </c>
    </row>
    <row r="349" spans="1:18">
      <c r="A349" t="s">
        <v>566</v>
      </c>
      <c r="B349" s="2">
        <v>46085</v>
      </c>
      <c r="C349" s="3">
        <v>0.334722222222222</v>
      </c>
      <c r="D349" t="s">
        <v>101</v>
      </c>
      <c r="E349">
        <v>29.41</v>
      </c>
      <c r="F349" t="s">
        <v>29</v>
      </c>
      <c r="G349" t="s">
        <v>54</v>
      </c>
      <c r="H349" t="s">
        <v>5</v>
      </c>
      <c r="I349" t="s">
        <v>15</v>
      </c>
      <c r="J349" t="s">
        <v>22</v>
      </c>
      <c r="K349">
        <v>39</v>
      </c>
      <c r="L349" t="s">
        <v>49</v>
      </c>
      <c r="M349">
        <v>0</v>
      </c>
      <c r="N349">
        <f t="shared" si="23"/>
        <v>1</v>
      </c>
      <c r="P349" s="4">
        <f t="shared" si="20"/>
        <v>8</v>
      </c>
      <c r="Q349" s="4" t="str">
        <f t="shared" si="21"/>
        <v>Late Night</v>
      </c>
      <c r="R349" s="4" t="str">
        <f t="shared" si="22"/>
        <v>Low</v>
      </c>
    </row>
    <row r="350" spans="1:18">
      <c r="A350" t="s">
        <v>567</v>
      </c>
      <c r="B350" s="2">
        <v>46085</v>
      </c>
      <c r="C350" s="3">
        <v>0.182638888888889</v>
      </c>
      <c r="D350" t="s">
        <v>568</v>
      </c>
      <c r="E350">
        <v>150.26</v>
      </c>
      <c r="F350" t="s">
        <v>31</v>
      </c>
      <c r="G350" t="s">
        <v>71</v>
      </c>
      <c r="H350" t="s">
        <v>5</v>
      </c>
      <c r="I350" t="s">
        <v>15</v>
      </c>
      <c r="J350" t="s">
        <v>23</v>
      </c>
      <c r="K350">
        <v>64</v>
      </c>
      <c r="L350" t="s">
        <v>49</v>
      </c>
      <c r="M350">
        <v>0</v>
      </c>
      <c r="N350">
        <f t="shared" si="23"/>
        <v>1</v>
      </c>
      <c r="P350" s="4">
        <f t="shared" si="20"/>
        <v>4</v>
      </c>
      <c r="Q350" s="4" t="str">
        <f t="shared" si="21"/>
        <v>Late Night</v>
      </c>
      <c r="R350" s="4" t="str">
        <f t="shared" si="22"/>
        <v>Low</v>
      </c>
    </row>
    <row r="351" spans="1:18">
      <c r="A351" t="s">
        <v>569</v>
      </c>
      <c r="B351" s="2">
        <v>46085</v>
      </c>
      <c r="C351" s="3">
        <v>0.973611111111111</v>
      </c>
      <c r="D351" t="s">
        <v>511</v>
      </c>
      <c r="E351">
        <v>579.58</v>
      </c>
      <c r="F351" t="s">
        <v>29</v>
      </c>
      <c r="G351" t="s">
        <v>48</v>
      </c>
      <c r="H351" t="s">
        <v>8</v>
      </c>
      <c r="I351" t="s">
        <v>15</v>
      </c>
      <c r="J351" t="s">
        <v>21</v>
      </c>
      <c r="K351">
        <v>22</v>
      </c>
      <c r="L351" t="s">
        <v>49</v>
      </c>
      <c r="M351">
        <v>0</v>
      </c>
      <c r="N351">
        <f t="shared" si="23"/>
        <v>1</v>
      </c>
      <c r="P351" s="4">
        <f t="shared" si="20"/>
        <v>23</v>
      </c>
      <c r="Q351" s="4" t="str">
        <f t="shared" si="21"/>
        <v>Late Night</v>
      </c>
      <c r="R351" s="4" t="str">
        <f t="shared" si="22"/>
        <v>Low</v>
      </c>
    </row>
    <row r="352" spans="1:18">
      <c r="A352" t="s">
        <v>570</v>
      </c>
      <c r="B352" s="2">
        <v>46086</v>
      </c>
      <c r="C352" s="3">
        <v>0.706944444444444</v>
      </c>
      <c r="D352" t="s">
        <v>424</v>
      </c>
      <c r="E352">
        <v>161.53</v>
      </c>
      <c r="F352" t="s">
        <v>30</v>
      </c>
      <c r="G352" t="s">
        <v>54</v>
      </c>
      <c r="H352" t="s">
        <v>3</v>
      </c>
      <c r="I352" t="s">
        <v>15</v>
      </c>
      <c r="J352" t="s">
        <v>19</v>
      </c>
      <c r="K352">
        <v>56</v>
      </c>
      <c r="L352" t="s">
        <v>49</v>
      </c>
      <c r="M352">
        <v>0</v>
      </c>
      <c r="N352">
        <f t="shared" si="23"/>
        <v>1</v>
      </c>
      <c r="P352" s="4">
        <f t="shared" si="20"/>
        <v>16</v>
      </c>
      <c r="Q352" s="4" t="str">
        <f t="shared" si="21"/>
        <v>Late Night</v>
      </c>
      <c r="R352" s="4" t="str">
        <f t="shared" si="22"/>
        <v>Low</v>
      </c>
    </row>
    <row r="353" spans="1:18">
      <c r="A353" t="s">
        <v>571</v>
      </c>
      <c r="B353" s="2">
        <v>46086</v>
      </c>
      <c r="C353" s="3">
        <v>0.546527777777778</v>
      </c>
      <c r="D353" t="s">
        <v>141</v>
      </c>
      <c r="E353">
        <v>407.44</v>
      </c>
      <c r="F353" t="s">
        <v>31</v>
      </c>
      <c r="G353" t="s">
        <v>48</v>
      </c>
      <c r="H353" t="s">
        <v>4</v>
      </c>
      <c r="I353" t="s">
        <v>15</v>
      </c>
      <c r="J353" t="s">
        <v>23</v>
      </c>
      <c r="K353">
        <v>35</v>
      </c>
      <c r="L353" t="s">
        <v>49</v>
      </c>
      <c r="M353">
        <v>0</v>
      </c>
      <c r="N353">
        <f t="shared" si="23"/>
        <v>1</v>
      </c>
      <c r="P353" s="4">
        <f t="shared" si="20"/>
        <v>13</v>
      </c>
      <c r="Q353" s="4" t="str">
        <f t="shared" si="21"/>
        <v>Late Night</v>
      </c>
      <c r="R353" s="4" t="str">
        <f t="shared" si="22"/>
        <v>Low</v>
      </c>
    </row>
    <row r="354" spans="1:18">
      <c r="A354" t="s">
        <v>572</v>
      </c>
      <c r="B354" s="2">
        <v>46086</v>
      </c>
      <c r="C354" s="3">
        <v>0.870138888888889</v>
      </c>
      <c r="D354" t="s">
        <v>112</v>
      </c>
      <c r="E354">
        <v>741.88</v>
      </c>
      <c r="F354" t="s">
        <v>31</v>
      </c>
      <c r="G354" t="s">
        <v>59</v>
      </c>
      <c r="H354" t="s">
        <v>6</v>
      </c>
      <c r="I354" t="s">
        <v>15</v>
      </c>
      <c r="J354" t="s">
        <v>21</v>
      </c>
      <c r="K354">
        <v>55</v>
      </c>
      <c r="L354" t="s">
        <v>49</v>
      </c>
      <c r="M354">
        <v>0</v>
      </c>
      <c r="N354">
        <f t="shared" si="23"/>
        <v>1</v>
      </c>
      <c r="P354" s="4">
        <f t="shared" si="20"/>
        <v>20</v>
      </c>
      <c r="Q354" s="4" t="str">
        <f t="shared" si="21"/>
        <v>Late Night</v>
      </c>
      <c r="R354" s="4" t="str">
        <f t="shared" si="22"/>
        <v>Low</v>
      </c>
    </row>
    <row r="355" spans="1:18">
      <c r="A355" t="s">
        <v>573</v>
      </c>
      <c r="B355" s="2">
        <v>46086</v>
      </c>
      <c r="C355" s="3">
        <v>0.122222222222222</v>
      </c>
      <c r="D355" t="s">
        <v>65</v>
      </c>
      <c r="E355">
        <v>228.61</v>
      </c>
      <c r="F355" t="s">
        <v>31</v>
      </c>
      <c r="G355" t="s">
        <v>71</v>
      </c>
      <c r="H355" t="s">
        <v>9</v>
      </c>
      <c r="I355" t="s">
        <v>15</v>
      </c>
      <c r="J355" t="s">
        <v>18</v>
      </c>
      <c r="K355">
        <v>54</v>
      </c>
      <c r="L355" t="s">
        <v>49</v>
      </c>
      <c r="M355">
        <v>0</v>
      </c>
      <c r="N355">
        <f t="shared" si="23"/>
        <v>1</v>
      </c>
      <c r="P355" s="4">
        <f t="shared" si="20"/>
        <v>2</v>
      </c>
      <c r="Q355" s="4" t="str">
        <f t="shared" si="21"/>
        <v>Late Night</v>
      </c>
      <c r="R355" s="4" t="str">
        <f t="shared" si="22"/>
        <v>Low</v>
      </c>
    </row>
    <row r="356" spans="1:18">
      <c r="A356" t="s">
        <v>574</v>
      </c>
      <c r="B356" s="2">
        <v>46086</v>
      </c>
      <c r="C356" s="3">
        <v>0.0319444444444444</v>
      </c>
      <c r="D356" t="s">
        <v>178</v>
      </c>
      <c r="E356">
        <v>301.57</v>
      </c>
      <c r="F356" t="s">
        <v>29</v>
      </c>
      <c r="G356" t="s">
        <v>59</v>
      </c>
      <c r="H356" t="s">
        <v>8</v>
      </c>
      <c r="I356" t="s">
        <v>15</v>
      </c>
      <c r="J356" t="s">
        <v>20</v>
      </c>
      <c r="K356">
        <v>47</v>
      </c>
      <c r="L356" t="s">
        <v>168</v>
      </c>
      <c r="M356">
        <v>1</v>
      </c>
      <c r="N356">
        <f t="shared" si="23"/>
        <v>1</v>
      </c>
      <c r="P356" s="4">
        <f t="shared" si="20"/>
        <v>0</v>
      </c>
      <c r="Q356" s="4" t="str">
        <f t="shared" si="21"/>
        <v>Late Night</v>
      </c>
      <c r="R356" s="4" t="str">
        <f t="shared" si="22"/>
        <v>Low</v>
      </c>
    </row>
    <row r="357" spans="1:18">
      <c r="A357" t="s">
        <v>575</v>
      </c>
      <c r="B357" s="2">
        <v>46086</v>
      </c>
      <c r="C357" s="3">
        <v>0.816666666666667</v>
      </c>
      <c r="D357" t="s">
        <v>286</v>
      </c>
      <c r="E357">
        <v>198.71</v>
      </c>
      <c r="F357" t="s">
        <v>29</v>
      </c>
      <c r="G357" t="s">
        <v>54</v>
      </c>
      <c r="H357" t="s">
        <v>6</v>
      </c>
      <c r="I357" t="s">
        <v>14</v>
      </c>
      <c r="J357" t="s">
        <v>19</v>
      </c>
      <c r="K357">
        <v>48</v>
      </c>
      <c r="L357" t="s">
        <v>49</v>
      </c>
      <c r="M357">
        <v>0</v>
      </c>
      <c r="N357">
        <f t="shared" si="23"/>
        <v>1</v>
      </c>
      <c r="P357" s="4">
        <f t="shared" si="20"/>
        <v>19</v>
      </c>
      <c r="Q357" s="4" t="str">
        <f t="shared" si="21"/>
        <v>Late Night</v>
      </c>
      <c r="R357" s="4" t="str">
        <f t="shared" si="22"/>
        <v>Low</v>
      </c>
    </row>
    <row r="358" spans="1:18">
      <c r="A358" t="s">
        <v>576</v>
      </c>
      <c r="B358" s="2">
        <v>46087</v>
      </c>
      <c r="C358" s="3">
        <v>0.834722222222222</v>
      </c>
      <c r="D358" t="s">
        <v>89</v>
      </c>
      <c r="E358">
        <v>244.16</v>
      </c>
      <c r="F358" t="s">
        <v>28</v>
      </c>
      <c r="G358" t="s">
        <v>59</v>
      </c>
      <c r="H358" t="s">
        <v>8</v>
      </c>
      <c r="I358" t="s">
        <v>15</v>
      </c>
      <c r="J358" t="s">
        <v>23</v>
      </c>
      <c r="K358">
        <v>27</v>
      </c>
      <c r="L358" t="s">
        <v>49</v>
      </c>
      <c r="M358">
        <v>0</v>
      </c>
      <c r="N358">
        <f t="shared" si="23"/>
        <v>1</v>
      </c>
      <c r="P358" s="4">
        <f t="shared" si="20"/>
        <v>20</v>
      </c>
      <c r="Q358" s="4" t="str">
        <f t="shared" si="21"/>
        <v>Late Night</v>
      </c>
      <c r="R358" s="4" t="str">
        <f t="shared" si="22"/>
        <v>Low</v>
      </c>
    </row>
    <row r="359" spans="1:18">
      <c r="A359" t="s">
        <v>577</v>
      </c>
      <c r="B359" s="2">
        <v>46087</v>
      </c>
      <c r="C359" s="3">
        <v>0.951388888888889</v>
      </c>
      <c r="D359" t="s">
        <v>528</v>
      </c>
      <c r="E359">
        <v>1484.16</v>
      </c>
      <c r="F359" t="s">
        <v>31</v>
      </c>
      <c r="G359" t="s">
        <v>48</v>
      </c>
      <c r="H359" t="s">
        <v>3</v>
      </c>
      <c r="I359" t="s">
        <v>15</v>
      </c>
      <c r="J359" t="s">
        <v>19</v>
      </c>
      <c r="K359">
        <v>32</v>
      </c>
      <c r="L359" t="s">
        <v>49</v>
      </c>
      <c r="M359">
        <v>0</v>
      </c>
      <c r="N359">
        <f t="shared" si="23"/>
        <v>1</v>
      </c>
      <c r="P359" s="4">
        <f t="shared" si="20"/>
        <v>22</v>
      </c>
      <c r="Q359" s="4" t="str">
        <f t="shared" si="21"/>
        <v>Late Night</v>
      </c>
      <c r="R359" s="4" t="str">
        <f t="shared" si="22"/>
        <v>Medium</v>
      </c>
    </row>
    <row r="360" spans="1:18">
      <c r="A360" t="s">
        <v>578</v>
      </c>
      <c r="B360" s="2">
        <v>46087</v>
      </c>
      <c r="C360" s="3">
        <v>0.0222222222222222</v>
      </c>
      <c r="D360" t="s">
        <v>579</v>
      </c>
      <c r="E360">
        <v>170.04</v>
      </c>
      <c r="F360" t="s">
        <v>31</v>
      </c>
      <c r="G360" t="s">
        <v>71</v>
      </c>
      <c r="H360" t="s">
        <v>7</v>
      </c>
      <c r="I360" t="s">
        <v>15</v>
      </c>
      <c r="J360" t="s">
        <v>21</v>
      </c>
      <c r="K360">
        <v>59</v>
      </c>
      <c r="L360" t="s">
        <v>168</v>
      </c>
      <c r="M360">
        <v>1</v>
      </c>
      <c r="N360">
        <f t="shared" si="23"/>
        <v>1</v>
      </c>
      <c r="P360" s="4">
        <f t="shared" si="20"/>
        <v>0</v>
      </c>
      <c r="Q360" s="4" t="str">
        <f t="shared" si="21"/>
        <v>Late Night</v>
      </c>
      <c r="R360" s="4" t="str">
        <f t="shared" si="22"/>
        <v>Low</v>
      </c>
    </row>
    <row r="361" spans="1:18">
      <c r="A361" t="s">
        <v>580</v>
      </c>
      <c r="B361" s="2">
        <v>46087</v>
      </c>
      <c r="C361" s="3">
        <v>0.102083333333333</v>
      </c>
      <c r="D361" t="s">
        <v>155</v>
      </c>
      <c r="E361">
        <v>127.34</v>
      </c>
      <c r="F361" t="s">
        <v>29</v>
      </c>
      <c r="G361" t="s">
        <v>54</v>
      </c>
      <c r="H361" t="s">
        <v>7</v>
      </c>
      <c r="I361" t="s">
        <v>15</v>
      </c>
      <c r="J361" t="s">
        <v>20</v>
      </c>
      <c r="K361">
        <v>65</v>
      </c>
      <c r="L361" t="s">
        <v>49</v>
      </c>
      <c r="M361">
        <v>0</v>
      </c>
      <c r="N361">
        <f t="shared" si="23"/>
        <v>1</v>
      </c>
      <c r="P361" s="4">
        <f t="shared" si="20"/>
        <v>2</v>
      </c>
      <c r="Q361" s="4" t="str">
        <f t="shared" si="21"/>
        <v>Late Night</v>
      </c>
      <c r="R361" s="4" t="str">
        <f t="shared" si="22"/>
        <v>Low</v>
      </c>
    </row>
    <row r="362" spans="1:18">
      <c r="A362" t="s">
        <v>581</v>
      </c>
      <c r="B362" s="2">
        <v>46087</v>
      </c>
      <c r="C362" s="3">
        <v>0.740277777777778</v>
      </c>
      <c r="D362" t="s">
        <v>380</v>
      </c>
      <c r="E362">
        <v>513.76</v>
      </c>
      <c r="F362" t="s">
        <v>28</v>
      </c>
      <c r="G362" t="s">
        <v>54</v>
      </c>
      <c r="H362" t="s">
        <v>3</v>
      </c>
      <c r="I362" t="s">
        <v>14</v>
      </c>
      <c r="J362" t="s">
        <v>19</v>
      </c>
      <c r="K362">
        <v>61</v>
      </c>
      <c r="L362" t="s">
        <v>49</v>
      </c>
      <c r="M362">
        <v>0</v>
      </c>
      <c r="N362">
        <f t="shared" si="23"/>
        <v>1</v>
      </c>
      <c r="P362" s="4">
        <f t="shared" si="20"/>
        <v>17</v>
      </c>
      <c r="Q362" s="4" t="str">
        <f t="shared" si="21"/>
        <v>Late Night</v>
      </c>
      <c r="R362" s="4" t="str">
        <f t="shared" si="22"/>
        <v>Low</v>
      </c>
    </row>
    <row r="363" spans="1:18">
      <c r="A363" t="s">
        <v>582</v>
      </c>
      <c r="B363" s="2">
        <v>46088</v>
      </c>
      <c r="C363" s="3">
        <v>0.379861111111111</v>
      </c>
      <c r="D363" t="s">
        <v>526</v>
      </c>
      <c r="E363">
        <v>78.03</v>
      </c>
      <c r="F363" t="s">
        <v>32</v>
      </c>
      <c r="G363" t="s">
        <v>59</v>
      </c>
      <c r="H363" t="s">
        <v>9</v>
      </c>
      <c r="I363" t="s">
        <v>15</v>
      </c>
      <c r="J363" t="s">
        <v>23</v>
      </c>
      <c r="K363">
        <v>35</v>
      </c>
      <c r="L363" t="s">
        <v>49</v>
      </c>
      <c r="M363">
        <v>0</v>
      </c>
      <c r="N363">
        <f t="shared" si="23"/>
        <v>1</v>
      </c>
      <c r="P363" s="4">
        <f t="shared" si="20"/>
        <v>9</v>
      </c>
      <c r="Q363" s="4" t="str">
        <f t="shared" si="21"/>
        <v>Late Night</v>
      </c>
      <c r="R363" s="4" t="str">
        <f t="shared" si="22"/>
        <v>Low</v>
      </c>
    </row>
    <row r="364" spans="1:18">
      <c r="A364" t="s">
        <v>583</v>
      </c>
      <c r="B364" s="2">
        <v>46088</v>
      </c>
      <c r="C364" s="3">
        <v>0.897916666666667</v>
      </c>
      <c r="D364" t="s">
        <v>584</v>
      </c>
      <c r="E364">
        <v>98.03</v>
      </c>
      <c r="F364" t="s">
        <v>31</v>
      </c>
      <c r="G364" t="s">
        <v>59</v>
      </c>
      <c r="H364" t="s">
        <v>10</v>
      </c>
      <c r="I364" t="s">
        <v>15</v>
      </c>
      <c r="J364" t="s">
        <v>22</v>
      </c>
      <c r="K364">
        <v>40</v>
      </c>
      <c r="L364" t="s">
        <v>49</v>
      </c>
      <c r="M364">
        <v>0</v>
      </c>
      <c r="N364">
        <f t="shared" si="23"/>
        <v>1</v>
      </c>
      <c r="P364" s="4">
        <f t="shared" si="20"/>
        <v>21</v>
      </c>
      <c r="Q364" s="4" t="str">
        <f t="shared" si="21"/>
        <v>Late Night</v>
      </c>
      <c r="R364" s="4" t="str">
        <f t="shared" si="22"/>
        <v>Low</v>
      </c>
    </row>
    <row r="365" spans="1:18">
      <c r="A365" t="s">
        <v>585</v>
      </c>
      <c r="B365" s="2">
        <v>46088</v>
      </c>
      <c r="C365" s="3">
        <v>0.106944444444444</v>
      </c>
      <c r="D365" t="s">
        <v>255</v>
      </c>
      <c r="E365">
        <v>98.66</v>
      </c>
      <c r="F365" t="s">
        <v>29</v>
      </c>
      <c r="G365" t="s">
        <v>48</v>
      </c>
      <c r="H365" t="s">
        <v>3</v>
      </c>
      <c r="I365" t="s">
        <v>15</v>
      </c>
      <c r="J365" t="s">
        <v>21</v>
      </c>
      <c r="K365">
        <v>50</v>
      </c>
      <c r="L365" t="s">
        <v>49</v>
      </c>
      <c r="M365">
        <v>0</v>
      </c>
      <c r="N365">
        <f t="shared" si="23"/>
        <v>1</v>
      </c>
      <c r="P365" s="4">
        <f t="shared" si="20"/>
        <v>2</v>
      </c>
      <c r="Q365" s="4" t="str">
        <f t="shared" si="21"/>
        <v>Late Night</v>
      </c>
      <c r="R365" s="4" t="str">
        <f t="shared" si="22"/>
        <v>Low</v>
      </c>
    </row>
    <row r="366" spans="1:18">
      <c r="A366" t="s">
        <v>586</v>
      </c>
      <c r="B366" s="2">
        <v>46088</v>
      </c>
      <c r="C366" s="3">
        <v>0.313194444444444</v>
      </c>
      <c r="D366" t="s">
        <v>497</v>
      </c>
      <c r="E366">
        <v>140.35</v>
      </c>
      <c r="F366" t="s">
        <v>28</v>
      </c>
      <c r="G366" t="s">
        <v>59</v>
      </c>
      <c r="H366" t="s">
        <v>8</v>
      </c>
      <c r="I366" t="s">
        <v>15</v>
      </c>
      <c r="J366" t="s">
        <v>22</v>
      </c>
      <c r="K366">
        <v>33</v>
      </c>
      <c r="L366" t="s">
        <v>49</v>
      </c>
      <c r="M366">
        <v>0</v>
      </c>
      <c r="N366">
        <f t="shared" si="23"/>
        <v>1</v>
      </c>
      <c r="P366" s="4">
        <f t="shared" si="20"/>
        <v>7</v>
      </c>
      <c r="Q366" s="4" t="str">
        <f t="shared" si="21"/>
        <v>Late Night</v>
      </c>
      <c r="R366" s="4" t="str">
        <f t="shared" si="22"/>
        <v>Low</v>
      </c>
    </row>
    <row r="367" spans="1:18">
      <c r="A367" t="s">
        <v>587</v>
      </c>
      <c r="B367" s="2">
        <v>46088</v>
      </c>
      <c r="C367" s="3">
        <v>0.557638888888889</v>
      </c>
      <c r="D367" t="s">
        <v>172</v>
      </c>
      <c r="E367">
        <v>146.61</v>
      </c>
      <c r="F367" t="s">
        <v>28</v>
      </c>
      <c r="G367" t="s">
        <v>48</v>
      </c>
      <c r="H367" t="s">
        <v>9</v>
      </c>
      <c r="I367" t="s">
        <v>14</v>
      </c>
      <c r="J367" t="s">
        <v>18</v>
      </c>
      <c r="K367">
        <v>55</v>
      </c>
      <c r="L367" t="s">
        <v>49</v>
      </c>
      <c r="M367">
        <v>0</v>
      </c>
      <c r="N367">
        <f t="shared" si="23"/>
        <v>1</v>
      </c>
      <c r="P367" s="4">
        <f t="shared" si="20"/>
        <v>13</v>
      </c>
      <c r="Q367" s="4" t="str">
        <f t="shared" si="21"/>
        <v>Late Night</v>
      </c>
      <c r="R367" s="4" t="str">
        <f t="shared" si="22"/>
        <v>Low</v>
      </c>
    </row>
    <row r="368" spans="1:18">
      <c r="A368" t="s">
        <v>588</v>
      </c>
      <c r="B368" s="2">
        <v>46088</v>
      </c>
      <c r="C368" s="3">
        <v>0.967361111111111</v>
      </c>
      <c r="D368" t="s">
        <v>584</v>
      </c>
      <c r="E368">
        <v>364.71</v>
      </c>
      <c r="F368" t="s">
        <v>29</v>
      </c>
      <c r="G368" t="s">
        <v>59</v>
      </c>
      <c r="H368" t="s">
        <v>5</v>
      </c>
      <c r="I368" t="s">
        <v>15</v>
      </c>
      <c r="J368" t="s">
        <v>22</v>
      </c>
      <c r="K368">
        <v>52</v>
      </c>
      <c r="L368" t="s">
        <v>49</v>
      </c>
      <c r="M368">
        <v>0</v>
      </c>
      <c r="N368">
        <f t="shared" si="23"/>
        <v>1</v>
      </c>
      <c r="P368" s="4">
        <f t="shared" si="20"/>
        <v>23</v>
      </c>
      <c r="Q368" s="4" t="str">
        <f t="shared" si="21"/>
        <v>Late Night</v>
      </c>
      <c r="R368" s="4" t="str">
        <f t="shared" si="22"/>
        <v>Low</v>
      </c>
    </row>
    <row r="369" spans="1:18">
      <c r="A369" t="s">
        <v>589</v>
      </c>
      <c r="B369" s="2">
        <v>46089</v>
      </c>
      <c r="C369" s="3">
        <v>0.729861111111111</v>
      </c>
      <c r="D369" t="s">
        <v>590</v>
      </c>
      <c r="E369">
        <v>128.72</v>
      </c>
      <c r="F369" t="s">
        <v>29</v>
      </c>
      <c r="G369" t="s">
        <v>66</v>
      </c>
      <c r="H369" t="s">
        <v>3</v>
      </c>
      <c r="I369" t="s">
        <v>14</v>
      </c>
      <c r="J369" t="s">
        <v>22</v>
      </c>
      <c r="K369">
        <v>51</v>
      </c>
      <c r="L369" t="s">
        <v>49</v>
      </c>
      <c r="M369">
        <v>0</v>
      </c>
      <c r="N369">
        <f t="shared" si="23"/>
        <v>1</v>
      </c>
      <c r="P369" s="4">
        <f t="shared" si="20"/>
        <v>17</v>
      </c>
      <c r="Q369" s="4" t="str">
        <f t="shared" si="21"/>
        <v>Late Night</v>
      </c>
      <c r="R369" s="4" t="str">
        <f t="shared" si="22"/>
        <v>Low</v>
      </c>
    </row>
    <row r="370" spans="1:18">
      <c r="A370" t="s">
        <v>591</v>
      </c>
      <c r="B370" s="2">
        <v>46089</v>
      </c>
      <c r="C370" s="3">
        <v>0.621527777777778</v>
      </c>
      <c r="D370" t="s">
        <v>462</v>
      </c>
      <c r="E370">
        <v>379.73</v>
      </c>
      <c r="F370" t="s">
        <v>32</v>
      </c>
      <c r="G370" t="s">
        <v>66</v>
      </c>
      <c r="H370" t="s">
        <v>9</v>
      </c>
      <c r="I370" t="s">
        <v>15</v>
      </c>
      <c r="J370" t="s">
        <v>24</v>
      </c>
      <c r="K370">
        <v>45</v>
      </c>
      <c r="L370" t="s">
        <v>49</v>
      </c>
      <c r="M370">
        <v>0</v>
      </c>
      <c r="N370">
        <f t="shared" si="23"/>
        <v>1</v>
      </c>
      <c r="P370" s="4">
        <f t="shared" si="20"/>
        <v>14</v>
      </c>
      <c r="Q370" s="4" t="str">
        <f t="shared" si="21"/>
        <v>Late Night</v>
      </c>
      <c r="R370" s="4" t="str">
        <f t="shared" si="22"/>
        <v>Low</v>
      </c>
    </row>
    <row r="371" spans="1:18">
      <c r="A371" t="s">
        <v>592</v>
      </c>
      <c r="B371" s="2">
        <v>46089</v>
      </c>
      <c r="C371" s="3">
        <v>0.90625</v>
      </c>
      <c r="D371" t="s">
        <v>361</v>
      </c>
      <c r="E371">
        <v>430.17</v>
      </c>
      <c r="F371" t="s">
        <v>31</v>
      </c>
      <c r="G371" t="s">
        <v>59</v>
      </c>
      <c r="H371" t="s">
        <v>3</v>
      </c>
      <c r="I371" t="s">
        <v>15</v>
      </c>
      <c r="J371" t="s">
        <v>21</v>
      </c>
      <c r="K371">
        <v>19</v>
      </c>
      <c r="L371" t="s">
        <v>49</v>
      </c>
      <c r="M371">
        <v>0</v>
      </c>
      <c r="N371">
        <f t="shared" si="23"/>
        <v>1</v>
      </c>
      <c r="P371" s="4">
        <f t="shared" si="20"/>
        <v>21</v>
      </c>
      <c r="Q371" s="4" t="str">
        <f t="shared" si="21"/>
        <v>Late Night</v>
      </c>
      <c r="R371" s="4" t="str">
        <f t="shared" si="22"/>
        <v>Low</v>
      </c>
    </row>
    <row r="372" spans="1:18">
      <c r="A372" t="s">
        <v>593</v>
      </c>
      <c r="B372" s="2">
        <v>46089</v>
      </c>
      <c r="C372" s="3">
        <v>0.945833333333333</v>
      </c>
      <c r="D372" t="s">
        <v>594</v>
      </c>
      <c r="E372">
        <v>94.3</v>
      </c>
      <c r="F372" t="s">
        <v>31</v>
      </c>
      <c r="G372" t="s">
        <v>59</v>
      </c>
      <c r="H372" t="s">
        <v>3</v>
      </c>
      <c r="I372" t="s">
        <v>16</v>
      </c>
      <c r="J372" t="s">
        <v>18</v>
      </c>
      <c r="K372">
        <v>47</v>
      </c>
      <c r="L372" t="s">
        <v>49</v>
      </c>
      <c r="M372">
        <v>0</v>
      </c>
      <c r="N372">
        <f t="shared" si="23"/>
        <v>1</v>
      </c>
      <c r="P372" s="4">
        <f t="shared" si="20"/>
        <v>22</v>
      </c>
      <c r="Q372" s="4" t="str">
        <f t="shared" si="21"/>
        <v>Late Night</v>
      </c>
      <c r="R372" s="4" t="str">
        <f t="shared" si="22"/>
        <v>Low</v>
      </c>
    </row>
    <row r="373" spans="1:18">
      <c r="A373" t="s">
        <v>595</v>
      </c>
      <c r="B373" s="2">
        <v>46089</v>
      </c>
      <c r="C373" s="3">
        <v>0.0520833333333333</v>
      </c>
      <c r="D373" t="s">
        <v>596</v>
      </c>
      <c r="E373">
        <v>421.03</v>
      </c>
      <c r="F373" t="s">
        <v>29</v>
      </c>
      <c r="G373" t="s">
        <v>48</v>
      </c>
      <c r="H373" t="s">
        <v>10</v>
      </c>
      <c r="I373" t="s">
        <v>15</v>
      </c>
      <c r="J373" t="s">
        <v>22</v>
      </c>
      <c r="K373">
        <v>30</v>
      </c>
      <c r="L373" t="s">
        <v>49</v>
      </c>
      <c r="M373">
        <v>0</v>
      </c>
      <c r="N373">
        <f t="shared" si="23"/>
        <v>1</v>
      </c>
      <c r="P373" s="4">
        <f t="shared" si="20"/>
        <v>1</v>
      </c>
      <c r="Q373" s="4" t="str">
        <f t="shared" si="21"/>
        <v>Late Night</v>
      </c>
      <c r="R373" s="4" t="str">
        <f t="shared" si="22"/>
        <v>Low</v>
      </c>
    </row>
    <row r="374" spans="1:18">
      <c r="A374" t="s">
        <v>597</v>
      </c>
      <c r="B374" s="2">
        <v>46090</v>
      </c>
      <c r="C374" s="3">
        <v>0.377083333333333</v>
      </c>
      <c r="D374" t="s">
        <v>176</v>
      </c>
      <c r="E374">
        <v>461.01</v>
      </c>
      <c r="F374" t="s">
        <v>28</v>
      </c>
      <c r="G374" t="s">
        <v>66</v>
      </c>
      <c r="H374" t="s">
        <v>10</v>
      </c>
      <c r="I374" t="s">
        <v>15</v>
      </c>
      <c r="J374" t="s">
        <v>20</v>
      </c>
      <c r="K374">
        <v>58</v>
      </c>
      <c r="L374" t="s">
        <v>49</v>
      </c>
      <c r="M374">
        <v>0</v>
      </c>
      <c r="N374">
        <f t="shared" si="23"/>
        <v>1</v>
      </c>
      <c r="P374" s="4">
        <f t="shared" si="20"/>
        <v>9</v>
      </c>
      <c r="Q374" s="4" t="str">
        <f t="shared" si="21"/>
        <v>Late Night</v>
      </c>
      <c r="R374" s="4" t="str">
        <f t="shared" si="22"/>
        <v>Low</v>
      </c>
    </row>
    <row r="375" spans="1:18">
      <c r="A375" t="s">
        <v>598</v>
      </c>
      <c r="B375" s="2">
        <v>46090</v>
      </c>
      <c r="C375" s="3">
        <v>0.0770833333333333</v>
      </c>
      <c r="D375" t="s">
        <v>201</v>
      </c>
      <c r="E375">
        <v>31.16</v>
      </c>
      <c r="F375" t="s">
        <v>31</v>
      </c>
      <c r="G375" t="s">
        <v>48</v>
      </c>
      <c r="H375" t="s">
        <v>8</v>
      </c>
      <c r="I375" t="s">
        <v>15</v>
      </c>
      <c r="J375" t="s">
        <v>23</v>
      </c>
      <c r="K375">
        <v>33</v>
      </c>
      <c r="L375" t="s">
        <v>49</v>
      </c>
      <c r="M375">
        <v>0</v>
      </c>
      <c r="N375">
        <f t="shared" si="23"/>
        <v>1</v>
      </c>
      <c r="P375" s="4">
        <f t="shared" si="20"/>
        <v>1</v>
      </c>
      <c r="Q375" s="4" t="str">
        <f t="shared" si="21"/>
        <v>Late Night</v>
      </c>
      <c r="R375" s="4" t="str">
        <f t="shared" si="22"/>
        <v>Low</v>
      </c>
    </row>
    <row r="376" spans="1:18">
      <c r="A376" t="s">
        <v>599</v>
      </c>
      <c r="B376" s="2">
        <v>46090</v>
      </c>
      <c r="C376" s="3">
        <v>0.691666666666667</v>
      </c>
      <c r="D376" t="s">
        <v>208</v>
      </c>
      <c r="E376">
        <v>243.1</v>
      </c>
      <c r="F376" t="s">
        <v>31</v>
      </c>
      <c r="G376" t="s">
        <v>54</v>
      </c>
      <c r="H376" t="s">
        <v>9</v>
      </c>
      <c r="I376" t="s">
        <v>15</v>
      </c>
      <c r="J376" t="s">
        <v>22</v>
      </c>
      <c r="K376">
        <v>22</v>
      </c>
      <c r="L376" t="s">
        <v>49</v>
      </c>
      <c r="M376">
        <v>0</v>
      </c>
      <c r="N376">
        <f t="shared" si="23"/>
        <v>1</v>
      </c>
      <c r="P376" s="4">
        <f t="shared" si="20"/>
        <v>16</v>
      </c>
      <c r="Q376" s="4" t="str">
        <f t="shared" si="21"/>
        <v>Late Night</v>
      </c>
      <c r="R376" s="4" t="str">
        <f t="shared" si="22"/>
        <v>Low</v>
      </c>
    </row>
    <row r="377" spans="1:18">
      <c r="A377" t="s">
        <v>600</v>
      </c>
      <c r="B377" s="2">
        <v>46090</v>
      </c>
      <c r="C377" s="3">
        <v>0.328472222222222</v>
      </c>
      <c r="D377" t="s">
        <v>601</v>
      </c>
      <c r="E377">
        <v>109.24</v>
      </c>
      <c r="F377" t="s">
        <v>31</v>
      </c>
      <c r="G377" t="s">
        <v>48</v>
      </c>
      <c r="H377" t="s">
        <v>9</v>
      </c>
      <c r="I377" t="s">
        <v>15</v>
      </c>
      <c r="J377" t="s">
        <v>18</v>
      </c>
      <c r="K377">
        <v>45</v>
      </c>
      <c r="L377" t="s">
        <v>49</v>
      </c>
      <c r="M377">
        <v>0</v>
      </c>
      <c r="N377">
        <f t="shared" si="23"/>
        <v>1</v>
      </c>
      <c r="P377" s="4">
        <f t="shared" si="20"/>
        <v>7</v>
      </c>
      <c r="Q377" s="4" t="str">
        <f t="shared" si="21"/>
        <v>Late Night</v>
      </c>
      <c r="R377" s="4" t="str">
        <f t="shared" si="22"/>
        <v>Low</v>
      </c>
    </row>
    <row r="378" spans="1:18">
      <c r="A378" t="s">
        <v>602</v>
      </c>
      <c r="B378" s="2">
        <v>46090</v>
      </c>
      <c r="C378" s="3">
        <v>0.0138888888888889</v>
      </c>
      <c r="D378" t="s">
        <v>241</v>
      </c>
      <c r="E378">
        <v>667.18</v>
      </c>
      <c r="F378" t="s">
        <v>30</v>
      </c>
      <c r="G378" t="s">
        <v>48</v>
      </c>
      <c r="H378" t="s">
        <v>4</v>
      </c>
      <c r="I378" t="s">
        <v>15</v>
      </c>
      <c r="J378" t="s">
        <v>22</v>
      </c>
      <c r="K378">
        <v>56</v>
      </c>
      <c r="L378" t="s">
        <v>49</v>
      </c>
      <c r="M378">
        <v>0</v>
      </c>
      <c r="N378">
        <f t="shared" si="23"/>
        <v>1</v>
      </c>
      <c r="P378" s="4">
        <f t="shared" si="20"/>
        <v>0</v>
      </c>
      <c r="Q378" s="4" t="str">
        <f t="shared" si="21"/>
        <v>Late Night</v>
      </c>
      <c r="R378" s="4" t="str">
        <f t="shared" si="22"/>
        <v>Low</v>
      </c>
    </row>
    <row r="379" spans="1:18">
      <c r="A379" t="s">
        <v>603</v>
      </c>
      <c r="B379" s="2">
        <v>46090</v>
      </c>
      <c r="C379" s="3">
        <v>0.342361111111111</v>
      </c>
      <c r="D379" t="s">
        <v>137</v>
      </c>
      <c r="E379">
        <v>108.14</v>
      </c>
      <c r="F379" t="s">
        <v>31</v>
      </c>
      <c r="G379" t="s">
        <v>59</v>
      </c>
      <c r="H379" t="s">
        <v>3</v>
      </c>
      <c r="I379" t="s">
        <v>15</v>
      </c>
      <c r="J379" t="s">
        <v>23</v>
      </c>
      <c r="K379">
        <v>62</v>
      </c>
      <c r="L379" t="s">
        <v>49</v>
      </c>
      <c r="M379">
        <v>0</v>
      </c>
      <c r="N379">
        <f t="shared" si="23"/>
        <v>1</v>
      </c>
      <c r="P379" s="4">
        <f t="shared" si="20"/>
        <v>8</v>
      </c>
      <c r="Q379" s="4" t="str">
        <f t="shared" si="21"/>
        <v>Late Night</v>
      </c>
      <c r="R379" s="4" t="str">
        <f t="shared" si="22"/>
        <v>Low</v>
      </c>
    </row>
    <row r="380" spans="1:18">
      <c r="A380" t="s">
        <v>604</v>
      </c>
      <c r="B380" s="2">
        <v>46091</v>
      </c>
      <c r="C380" s="3">
        <v>0.4375</v>
      </c>
      <c r="D380" t="s">
        <v>605</v>
      </c>
      <c r="E380">
        <v>47.49</v>
      </c>
      <c r="F380" t="s">
        <v>31</v>
      </c>
      <c r="G380" t="s">
        <v>48</v>
      </c>
      <c r="H380" t="s">
        <v>7</v>
      </c>
      <c r="I380" t="s">
        <v>15</v>
      </c>
      <c r="J380" t="s">
        <v>18</v>
      </c>
      <c r="K380">
        <v>37</v>
      </c>
      <c r="L380" t="s">
        <v>49</v>
      </c>
      <c r="M380">
        <v>0</v>
      </c>
      <c r="N380">
        <f t="shared" si="23"/>
        <v>1</v>
      </c>
      <c r="P380" s="4">
        <f t="shared" si="20"/>
        <v>10</v>
      </c>
      <c r="Q380" s="4" t="str">
        <f t="shared" si="21"/>
        <v>Late Night</v>
      </c>
      <c r="R380" s="4" t="str">
        <f t="shared" si="22"/>
        <v>Low</v>
      </c>
    </row>
    <row r="381" spans="1:18">
      <c r="A381" t="s">
        <v>606</v>
      </c>
      <c r="B381" s="2">
        <v>46091</v>
      </c>
      <c r="C381" s="3">
        <v>0.9125</v>
      </c>
      <c r="D381" t="s">
        <v>186</v>
      </c>
      <c r="E381">
        <v>175.95</v>
      </c>
      <c r="F381" t="s">
        <v>31</v>
      </c>
      <c r="G381" t="s">
        <v>66</v>
      </c>
      <c r="H381" t="s">
        <v>3</v>
      </c>
      <c r="I381" t="s">
        <v>15</v>
      </c>
      <c r="J381" t="s">
        <v>21</v>
      </c>
      <c r="K381">
        <v>41</v>
      </c>
      <c r="L381" t="s">
        <v>49</v>
      </c>
      <c r="M381">
        <v>0</v>
      </c>
      <c r="N381">
        <f t="shared" si="23"/>
        <v>1</v>
      </c>
      <c r="P381" s="4">
        <f t="shared" si="20"/>
        <v>21</v>
      </c>
      <c r="Q381" s="4" t="str">
        <f t="shared" si="21"/>
        <v>Late Night</v>
      </c>
      <c r="R381" s="4" t="str">
        <f t="shared" si="22"/>
        <v>Low</v>
      </c>
    </row>
    <row r="382" spans="1:18">
      <c r="A382" t="s">
        <v>607</v>
      </c>
      <c r="B382" s="2">
        <v>46091</v>
      </c>
      <c r="C382" s="3">
        <v>0.657638888888889</v>
      </c>
      <c r="D382" t="s">
        <v>155</v>
      </c>
      <c r="E382">
        <v>73.92</v>
      </c>
      <c r="F382" t="s">
        <v>31</v>
      </c>
      <c r="G382" t="s">
        <v>48</v>
      </c>
      <c r="H382" t="s">
        <v>3</v>
      </c>
      <c r="I382" t="s">
        <v>15</v>
      </c>
      <c r="J382" t="s">
        <v>18</v>
      </c>
      <c r="K382">
        <v>44</v>
      </c>
      <c r="L382" t="s">
        <v>49</v>
      </c>
      <c r="M382">
        <v>0</v>
      </c>
      <c r="N382">
        <f t="shared" si="23"/>
        <v>1</v>
      </c>
      <c r="P382" s="4">
        <f t="shared" si="20"/>
        <v>15</v>
      </c>
      <c r="Q382" s="4" t="str">
        <f t="shared" si="21"/>
        <v>Late Night</v>
      </c>
      <c r="R382" s="4" t="str">
        <f t="shared" si="22"/>
        <v>Low</v>
      </c>
    </row>
    <row r="383" spans="1:18">
      <c r="A383" t="s">
        <v>608</v>
      </c>
      <c r="B383" s="2">
        <v>46091</v>
      </c>
      <c r="C383" s="3">
        <v>0.261805555555556</v>
      </c>
      <c r="D383" t="s">
        <v>609</v>
      </c>
      <c r="E383">
        <v>423.94</v>
      </c>
      <c r="F383" t="s">
        <v>31</v>
      </c>
      <c r="G383" t="s">
        <v>48</v>
      </c>
      <c r="H383" t="s">
        <v>9</v>
      </c>
      <c r="I383" t="s">
        <v>15</v>
      </c>
      <c r="J383" t="s">
        <v>21</v>
      </c>
      <c r="K383">
        <v>47</v>
      </c>
      <c r="L383" t="s">
        <v>49</v>
      </c>
      <c r="M383">
        <v>0</v>
      </c>
      <c r="N383">
        <f t="shared" si="23"/>
        <v>1</v>
      </c>
      <c r="P383" s="4">
        <f t="shared" si="20"/>
        <v>6</v>
      </c>
      <c r="Q383" s="4" t="str">
        <f t="shared" si="21"/>
        <v>Late Night</v>
      </c>
      <c r="R383" s="4" t="str">
        <f t="shared" si="22"/>
        <v>Low</v>
      </c>
    </row>
    <row r="384" spans="1:18">
      <c r="A384" t="s">
        <v>610</v>
      </c>
      <c r="B384" s="2">
        <v>46091</v>
      </c>
      <c r="C384" s="3">
        <v>0.379166666666667</v>
      </c>
      <c r="D384" t="s">
        <v>58</v>
      </c>
      <c r="E384">
        <v>80.75</v>
      </c>
      <c r="F384" t="s">
        <v>28</v>
      </c>
      <c r="G384" t="s">
        <v>54</v>
      </c>
      <c r="H384" t="s">
        <v>3</v>
      </c>
      <c r="I384" t="s">
        <v>15</v>
      </c>
      <c r="J384" t="s">
        <v>18</v>
      </c>
      <c r="K384">
        <v>62</v>
      </c>
      <c r="L384" t="s">
        <v>49</v>
      </c>
      <c r="M384">
        <v>0</v>
      </c>
      <c r="N384">
        <f t="shared" si="23"/>
        <v>1</v>
      </c>
      <c r="P384" s="4">
        <f t="shared" si="20"/>
        <v>9</v>
      </c>
      <c r="Q384" s="4" t="str">
        <f t="shared" si="21"/>
        <v>Late Night</v>
      </c>
      <c r="R384" s="4" t="str">
        <f t="shared" si="22"/>
        <v>Low</v>
      </c>
    </row>
    <row r="385" spans="1:18">
      <c r="A385" t="s">
        <v>611</v>
      </c>
      <c r="B385" s="2">
        <v>46092</v>
      </c>
      <c r="C385" s="3">
        <v>0.922916666666667</v>
      </c>
      <c r="D385" t="s">
        <v>158</v>
      </c>
      <c r="E385">
        <v>178.13</v>
      </c>
      <c r="F385" t="s">
        <v>31</v>
      </c>
      <c r="G385" t="s">
        <v>48</v>
      </c>
      <c r="H385" t="s">
        <v>6</v>
      </c>
      <c r="I385" t="s">
        <v>16</v>
      </c>
      <c r="J385" t="s">
        <v>19</v>
      </c>
      <c r="K385">
        <v>44</v>
      </c>
      <c r="L385" t="s">
        <v>49</v>
      </c>
      <c r="M385">
        <v>0</v>
      </c>
      <c r="N385">
        <f t="shared" si="23"/>
        <v>1</v>
      </c>
      <c r="P385" s="4">
        <f t="shared" si="20"/>
        <v>22</v>
      </c>
      <c r="Q385" s="4" t="str">
        <f t="shared" si="21"/>
        <v>Late Night</v>
      </c>
      <c r="R385" s="4" t="str">
        <f t="shared" si="22"/>
        <v>Low</v>
      </c>
    </row>
    <row r="386" spans="1:18">
      <c r="A386" t="s">
        <v>612</v>
      </c>
      <c r="B386" s="2">
        <v>46092</v>
      </c>
      <c r="C386" s="3">
        <v>0.0875</v>
      </c>
      <c r="D386" t="s">
        <v>116</v>
      </c>
      <c r="E386">
        <v>850.49</v>
      </c>
      <c r="F386" t="s">
        <v>30</v>
      </c>
      <c r="G386" t="s">
        <v>48</v>
      </c>
      <c r="H386" t="s">
        <v>3</v>
      </c>
      <c r="I386" t="s">
        <v>15</v>
      </c>
      <c r="J386" t="s">
        <v>23</v>
      </c>
      <c r="K386">
        <v>43</v>
      </c>
      <c r="L386" t="s">
        <v>49</v>
      </c>
      <c r="M386">
        <v>0</v>
      </c>
      <c r="N386">
        <f t="shared" si="23"/>
        <v>1</v>
      </c>
      <c r="P386" s="4">
        <f t="shared" ref="P386:P449" si="24">HOUR(C386)</f>
        <v>2</v>
      </c>
      <c r="Q386" s="4" t="str">
        <f t="shared" ref="Q386:Q449" si="25">IF(N386&lt;6,"Late Night",IF(N386&lt;12,"Morning",IF(N386&lt;18,"Afternoon","Evening")))</f>
        <v>Late Night</v>
      </c>
      <c r="R386" s="4" t="str">
        <f t="shared" ref="R386:R449" si="26">IF(E386&lt;1000,"Low",IF(E386&lt;5000,"Medium",IF(E386&lt;15000,"High","Very High")))</f>
        <v>Low</v>
      </c>
    </row>
    <row r="387" spans="1:18">
      <c r="A387" t="s">
        <v>613</v>
      </c>
      <c r="B387" s="2">
        <v>46092</v>
      </c>
      <c r="C387" s="3">
        <v>0.730555555555556</v>
      </c>
      <c r="D387" t="s">
        <v>153</v>
      </c>
      <c r="E387">
        <v>543.77</v>
      </c>
      <c r="F387" t="s">
        <v>31</v>
      </c>
      <c r="G387" t="s">
        <v>59</v>
      </c>
      <c r="H387" t="s">
        <v>6</v>
      </c>
      <c r="I387" t="s">
        <v>14</v>
      </c>
      <c r="J387" t="s">
        <v>23</v>
      </c>
      <c r="K387">
        <v>24</v>
      </c>
      <c r="L387" t="s">
        <v>49</v>
      </c>
      <c r="M387">
        <v>0</v>
      </c>
      <c r="N387">
        <f t="shared" ref="N387:N450" si="27">COUNTIF($A$2:$A$1001,A387)</f>
        <v>1</v>
      </c>
      <c r="P387" s="4">
        <f t="shared" si="24"/>
        <v>17</v>
      </c>
      <c r="Q387" s="4" t="str">
        <f t="shared" si="25"/>
        <v>Late Night</v>
      </c>
      <c r="R387" s="4" t="str">
        <f t="shared" si="26"/>
        <v>Low</v>
      </c>
    </row>
    <row r="388" spans="1:18">
      <c r="A388" t="s">
        <v>614</v>
      </c>
      <c r="B388" s="2">
        <v>46092</v>
      </c>
      <c r="C388" s="3">
        <v>0.973611111111111</v>
      </c>
      <c r="D388" t="s">
        <v>292</v>
      </c>
      <c r="E388">
        <v>292.32</v>
      </c>
      <c r="F388" t="s">
        <v>28</v>
      </c>
      <c r="G388" t="s">
        <v>48</v>
      </c>
      <c r="H388" t="s">
        <v>10</v>
      </c>
      <c r="I388" t="s">
        <v>15</v>
      </c>
      <c r="J388" t="s">
        <v>18</v>
      </c>
      <c r="K388">
        <v>59</v>
      </c>
      <c r="L388" t="s">
        <v>49</v>
      </c>
      <c r="M388">
        <v>0</v>
      </c>
      <c r="N388">
        <f t="shared" si="27"/>
        <v>1</v>
      </c>
      <c r="P388" s="4">
        <f t="shared" si="24"/>
        <v>23</v>
      </c>
      <c r="Q388" s="4" t="str">
        <f t="shared" si="25"/>
        <v>Late Night</v>
      </c>
      <c r="R388" s="4" t="str">
        <f t="shared" si="26"/>
        <v>Low</v>
      </c>
    </row>
    <row r="389" spans="1:18">
      <c r="A389" t="s">
        <v>615</v>
      </c>
      <c r="B389" s="2">
        <v>46092</v>
      </c>
      <c r="C389" s="3">
        <v>0.513888888888889</v>
      </c>
      <c r="D389" t="s">
        <v>284</v>
      </c>
      <c r="E389">
        <v>159.56</v>
      </c>
      <c r="F389" t="s">
        <v>30</v>
      </c>
      <c r="G389" t="s">
        <v>66</v>
      </c>
      <c r="H389" t="s">
        <v>7</v>
      </c>
      <c r="I389" t="s">
        <v>15</v>
      </c>
      <c r="J389" t="s">
        <v>19</v>
      </c>
      <c r="K389">
        <v>64</v>
      </c>
      <c r="L389" t="s">
        <v>49</v>
      </c>
      <c r="M389">
        <v>0</v>
      </c>
      <c r="N389">
        <f t="shared" si="27"/>
        <v>1</v>
      </c>
      <c r="P389" s="4">
        <f t="shared" si="24"/>
        <v>12</v>
      </c>
      <c r="Q389" s="4" t="str">
        <f t="shared" si="25"/>
        <v>Late Night</v>
      </c>
      <c r="R389" s="4" t="str">
        <f t="shared" si="26"/>
        <v>Low</v>
      </c>
    </row>
    <row r="390" spans="1:18">
      <c r="A390" t="s">
        <v>616</v>
      </c>
      <c r="B390" s="2">
        <v>46092</v>
      </c>
      <c r="C390" s="3">
        <v>0.2625</v>
      </c>
      <c r="D390" t="s">
        <v>617</v>
      </c>
      <c r="E390">
        <v>265.84</v>
      </c>
      <c r="F390" t="s">
        <v>29</v>
      </c>
      <c r="G390" t="s">
        <v>48</v>
      </c>
      <c r="H390" t="s">
        <v>8</v>
      </c>
      <c r="I390" t="s">
        <v>15</v>
      </c>
      <c r="J390" t="s">
        <v>22</v>
      </c>
      <c r="K390">
        <v>55</v>
      </c>
      <c r="L390" t="s">
        <v>49</v>
      </c>
      <c r="M390">
        <v>0</v>
      </c>
      <c r="N390">
        <f t="shared" si="27"/>
        <v>1</v>
      </c>
      <c r="P390" s="4">
        <f t="shared" si="24"/>
        <v>6</v>
      </c>
      <c r="Q390" s="4" t="str">
        <f t="shared" si="25"/>
        <v>Late Night</v>
      </c>
      <c r="R390" s="4" t="str">
        <f t="shared" si="26"/>
        <v>Low</v>
      </c>
    </row>
    <row r="391" spans="1:18">
      <c r="A391" t="s">
        <v>618</v>
      </c>
      <c r="B391" s="2">
        <v>46093</v>
      </c>
      <c r="C391" s="3">
        <v>0.157638888888889</v>
      </c>
      <c r="D391" t="s">
        <v>542</v>
      </c>
      <c r="E391">
        <v>361.04</v>
      </c>
      <c r="F391" t="s">
        <v>28</v>
      </c>
      <c r="G391" t="s">
        <v>48</v>
      </c>
      <c r="H391" t="s">
        <v>9</v>
      </c>
      <c r="I391" t="s">
        <v>15</v>
      </c>
      <c r="J391" t="s">
        <v>23</v>
      </c>
      <c r="K391">
        <v>22</v>
      </c>
      <c r="L391" t="s">
        <v>85</v>
      </c>
      <c r="M391">
        <v>1</v>
      </c>
      <c r="N391">
        <f t="shared" si="27"/>
        <v>1</v>
      </c>
      <c r="P391" s="4">
        <f t="shared" si="24"/>
        <v>3</v>
      </c>
      <c r="Q391" s="4" t="str">
        <f t="shared" si="25"/>
        <v>Late Night</v>
      </c>
      <c r="R391" s="4" t="str">
        <f t="shared" si="26"/>
        <v>Low</v>
      </c>
    </row>
    <row r="392" spans="1:18">
      <c r="A392" t="s">
        <v>619</v>
      </c>
      <c r="B392" s="2">
        <v>46093</v>
      </c>
      <c r="C392" s="3">
        <v>0.5125</v>
      </c>
      <c r="D392" t="s">
        <v>584</v>
      </c>
      <c r="E392">
        <v>67.59</v>
      </c>
      <c r="F392" t="s">
        <v>31</v>
      </c>
      <c r="G392" t="s">
        <v>66</v>
      </c>
      <c r="H392" t="s">
        <v>3</v>
      </c>
      <c r="I392" t="s">
        <v>15</v>
      </c>
      <c r="J392" t="s">
        <v>21</v>
      </c>
      <c r="K392">
        <v>40</v>
      </c>
      <c r="L392" t="s">
        <v>49</v>
      </c>
      <c r="M392">
        <v>0</v>
      </c>
      <c r="N392">
        <f t="shared" si="27"/>
        <v>1</v>
      </c>
      <c r="P392" s="4">
        <f t="shared" si="24"/>
        <v>12</v>
      </c>
      <c r="Q392" s="4" t="str">
        <f t="shared" si="25"/>
        <v>Late Night</v>
      </c>
      <c r="R392" s="4" t="str">
        <f t="shared" si="26"/>
        <v>Low</v>
      </c>
    </row>
    <row r="393" spans="1:18">
      <c r="A393" t="s">
        <v>620</v>
      </c>
      <c r="B393" s="2">
        <v>46093</v>
      </c>
      <c r="C393" s="3">
        <v>0.815972222222222</v>
      </c>
      <c r="D393" t="s">
        <v>621</v>
      </c>
      <c r="E393">
        <v>424.68</v>
      </c>
      <c r="F393" t="s">
        <v>31</v>
      </c>
      <c r="G393" t="s">
        <v>48</v>
      </c>
      <c r="H393" t="s">
        <v>6</v>
      </c>
      <c r="I393" t="s">
        <v>15</v>
      </c>
      <c r="J393" t="s">
        <v>21</v>
      </c>
      <c r="K393">
        <v>45</v>
      </c>
      <c r="L393" t="s">
        <v>49</v>
      </c>
      <c r="M393">
        <v>0</v>
      </c>
      <c r="N393">
        <f t="shared" si="27"/>
        <v>1</v>
      </c>
      <c r="P393" s="4">
        <f t="shared" si="24"/>
        <v>19</v>
      </c>
      <c r="Q393" s="4" t="str">
        <f t="shared" si="25"/>
        <v>Late Night</v>
      </c>
      <c r="R393" s="4" t="str">
        <f t="shared" si="26"/>
        <v>Low</v>
      </c>
    </row>
    <row r="394" spans="1:18">
      <c r="A394" t="s">
        <v>622</v>
      </c>
      <c r="B394" s="2">
        <v>46093</v>
      </c>
      <c r="C394" s="3">
        <v>0.0194444444444444</v>
      </c>
      <c r="D394" t="s">
        <v>494</v>
      </c>
      <c r="E394">
        <v>60.24</v>
      </c>
      <c r="F394" t="s">
        <v>29</v>
      </c>
      <c r="G394" t="s">
        <v>48</v>
      </c>
      <c r="H394" t="s">
        <v>6</v>
      </c>
      <c r="I394" t="s">
        <v>15</v>
      </c>
      <c r="J394" t="s">
        <v>20</v>
      </c>
      <c r="K394">
        <v>51</v>
      </c>
      <c r="L394" t="s">
        <v>49</v>
      </c>
      <c r="M394">
        <v>0</v>
      </c>
      <c r="N394">
        <f t="shared" si="27"/>
        <v>1</v>
      </c>
      <c r="P394" s="4">
        <f t="shared" si="24"/>
        <v>0</v>
      </c>
      <c r="Q394" s="4" t="str">
        <f t="shared" si="25"/>
        <v>Late Night</v>
      </c>
      <c r="R394" s="4" t="str">
        <f t="shared" si="26"/>
        <v>Low</v>
      </c>
    </row>
    <row r="395" spans="1:18">
      <c r="A395" t="s">
        <v>623</v>
      </c>
      <c r="B395" s="2">
        <v>46093</v>
      </c>
      <c r="C395" s="3">
        <v>0.332638888888889</v>
      </c>
      <c r="D395" t="s">
        <v>517</v>
      </c>
      <c r="E395">
        <v>321.32</v>
      </c>
      <c r="F395" t="s">
        <v>32</v>
      </c>
      <c r="G395" t="s">
        <v>54</v>
      </c>
      <c r="H395" t="s">
        <v>10</v>
      </c>
      <c r="I395" t="s">
        <v>14</v>
      </c>
      <c r="J395" t="s">
        <v>24</v>
      </c>
      <c r="K395">
        <v>32</v>
      </c>
      <c r="L395" t="s">
        <v>49</v>
      </c>
      <c r="M395">
        <v>0</v>
      </c>
      <c r="N395">
        <f t="shared" si="27"/>
        <v>1</v>
      </c>
      <c r="P395" s="4">
        <f t="shared" si="24"/>
        <v>7</v>
      </c>
      <c r="Q395" s="4" t="str">
        <f t="shared" si="25"/>
        <v>Late Night</v>
      </c>
      <c r="R395" s="4" t="str">
        <f t="shared" si="26"/>
        <v>Low</v>
      </c>
    </row>
    <row r="396" spans="1:18">
      <c r="A396" t="s">
        <v>624</v>
      </c>
      <c r="B396" s="2">
        <v>46093</v>
      </c>
      <c r="C396" s="3">
        <v>0.553472222222222</v>
      </c>
      <c r="D396" t="s">
        <v>84</v>
      </c>
      <c r="E396">
        <v>59.93</v>
      </c>
      <c r="F396" t="s">
        <v>29</v>
      </c>
      <c r="G396" t="s">
        <v>48</v>
      </c>
      <c r="H396" t="s">
        <v>6</v>
      </c>
      <c r="I396" t="s">
        <v>15</v>
      </c>
      <c r="J396" t="s">
        <v>19</v>
      </c>
      <c r="K396">
        <v>49</v>
      </c>
      <c r="L396" t="s">
        <v>49</v>
      </c>
      <c r="M396">
        <v>0</v>
      </c>
      <c r="N396">
        <f t="shared" si="27"/>
        <v>1</v>
      </c>
      <c r="P396" s="4">
        <f t="shared" si="24"/>
        <v>13</v>
      </c>
      <c r="Q396" s="4" t="str">
        <f t="shared" si="25"/>
        <v>Late Night</v>
      </c>
      <c r="R396" s="4" t="str">
        <f t="shared" si="26"/>
        <v>Low</v>
      </c>
    </row>
    <row r="397" spans="1:18">
      <c r="A397" t="s">
        <v>625</v>
      </c>
      <c r="B397" s="2">
        <v>46094</v>
      </c>
      <c r="C397" s="3">
        <v>0.625694444444444</v>
      </c>
      <c r="D397" t="s">
        <v>282</v>
      </c>
      <c r="E397">
        <v>1290.51</v>
      </c>
      <c r="F397" t="s">
        <v>28</v>
      </c>
      <c r="G397" t="s">
        <v>66</v>
      </c>
      <c r="H397" t="s">
        <v>8</v>
      </c>
      <c r="I397" t="s">
        <v>15</v>
      </c>
      <c r="J397" t="s">
        <v>24</v>
      </c>
      <c r="K397">
        <v>43</v>
      </c>
      <c r="L397" t="s">
        <v>49</v>
      </c>
      <c r="M397">
        <v>0</v>
      </c>
      <c r="N397">
        <f t="shared" si="27"/>
        <v>1</v>
      </c>
      <c r="P397" s="4">
        <f t="shared" si="24"/>
        <v>15</v>
      </c>
      <c r="Q397" s="4" t="str">
        <f t="shared" si="25"/>
        <v>Late Night</v>
      </c>
      <c r="R397" s="4" t="str">
        <f t="shared" si="26"/>
        <v>Medium</v>
      </c>
    </row>
    <row r="398" spans="1:18">
      <c r="A398" t="s">
        <v>626</v>
      </c>
      <c r="B398" s="2">
        <v>46094</v>
      </c>
      <c r="C398" s="3">
        <v>0.541666666666667</v>
      </c>
      <c r="D398" t="s">
        <v>89</v>
      </c>
      <c r="E398">
        <v>388.91</v>
      </c>
      <c r="F398" t="s">
        <v>29</v>
      </c>
      <c r="G398" t="s">
        <v>48</v>
      </c>
      <c r="H398" t="s">
        <v>5</v>
      </c>
      <c r="I398" t="s">
        <v>15</v>
      </c>
      <c r="J398" t="s">
        <v>24</v>
      </c>
      <c r="K398">
        <v>65</v>
      </c>
      <c r="L398" t="s">
        <v>49</v>
      </c>
      <c r="M398">
        <v>0</v>
      </c>
      <c r="N398">
        <f t="shared" si="27"/>
        <v>1</v>
      </c>
      <c r="P398" s="4">
        <f t="shared" si="24"/>
        <v>13</v>
      </c>
      <c r="Q398" s="4" t="str">
        <f t="shared" si="25"/>
        <v>Late Night</v>
      </c>
      <c r="R398" s="4" t="str">
        <f t="shared" si="26"/>
        <v>Low</v>
      </c>
    </row>
    <row r="399" spans="1:18">
      <c r="A399" t="s">
        <v>627</v>
      </c>
      <c r="B399" s="2">
        <v>46094</v>
      </c>
      <c r="C399" s="3">
        <v>0.490277777777778</v>
      </c>
      <c r="D399" t="s">
        <v>305</v>
      </c>
      <c r="E399">
        <v>38.24</v>
      </c>
      <c r="F399" t="s">
        <v>28</v>
      </c>
      <c r="G399" t="s">
        <v>66</v>
      </c>
      <c r="H399" t="s">
        <v>4</v>
      </c>
      <c r="I399" t="s">
        <v>15</v>
      </c>
      <c r="J399" t="s">
        <v>21</v>
      </c>
      <c r="K399">
        <v>48</v>
      </c>
      <c r="L399" t="s">
        <v>49</v>
      </c>
      <c r="M399">
        <v>0</v>
      </c>
      <c r="N399">
        <f t="shared" si="27"/>
        <v>1</v>
      </c>
      <c r="P399" s="4">
        <f t="shared" si="24"/>
        <v>11</v>
      </c>
      <c r="Q399" s="4" t="str">
        <f t="shared" si="25"/>
        <v>Late Night</v>
      </c>
      <c r="R399" s="4" t="str">
        <f t="shared" si="26"/>
        <v>Low</v>
      </c>
    </row>
    <row r="400" spans="1:18">
      <c r="A400" t="s">
        <v>628</v>
      </c>
      <c r="B400" s="2">
        <v>46094</v>
      </c>
      <c r="C400" s="3">
        <v>0.752777777777778</v>
      </c>
      <c r="D400" t="s">
        <v>58</v>
      </c>
      <c r="E400">
        <v>181.1</v>
      </c>
      <c r="F400" t="s">
        <v>31</v>
      </c>
      <c r="G400" t="s">
        <v>71</v>
      </c>
      <c r="H400" t="s">
        <v>8</v>
      </c>
      <c r="I400" t="s">
        <v>15</v>
      </c>
      <c r="J400" t="s">
        <v>20</v>
      </c>
      <c r="K400">
        <v>36</v>
      </c>
      <c r="L400" t="s">
        <v>49</v>
      </c>
      <c r="M400">
        <v>0</v>
      </c>
      <c r="N400">
        <f t="shared" si="27"/>
        <v>1</v>
      </c>
      <c r="P400" s="4">
        <f t="shared" si="24"/>
        <v>18</v>
      </c>
      <c r="Q400" s="4" t="str">
        <f t="shared" si="25"/>
        <v>Late Night</v>
      </c>
      <c r="R400" s="4" t="str">
        <f t="shared" si="26"/>
        <v>Low</v>
      </c>
    </row>
    <row r="401" spans="1:18">
      <c r="A401" t="s">
        <v>629</v>
      </c>
      <c r="B401" s="2">
        <v>46094</v>
      </c>
      <c r="C401" s="3">
        <v>0.929861111111111</v>
      </c>
      <c r="D401" t="s">
        <v>630</v>
      </c>
      <c r="E401">
        <v>107.62</v>
      </c>
      <c r="F401" t="s">
        <v>28</v>
      </c>
      <c r="G401" t="s">
        <v>54</v>
      </c>
      <c r="H401" t="s">
        <v>7</v>
      </c>
      <c r="I401" t="s">
        <v>15</v>
      </c>
      <c r="J401" t="s">
        <v>24</v>
      </c>
      <c r="K401">
        <v>26</v>
      </c>
      <c r="L401" t="s">
        <v>49</v>
      </c>
      <c r="M401">
        <v>0</v>
      </c>
      <c r="N401">
        <f t="shared" si="27"/>
        <v>1</v>
      </c>
      <c r="P401" s="4">
        <f t="shared" si="24"/>
        <v>22</v>
      </c>
      <c r="Q401" s="4" t="str">
        <f t="shared" si="25"/>
        <v>Late Night</v>
      </c>
      <c r="R401" s="4" t="str">
        <f t="shared" si="26"/>
        <v>Low</v>
      </c>
    </row>
    <row r="402" spans="1:18">
      <c r="A402" t="s">
        <v>631</v>
      </c>
      <c r="B402" s="2">
        <v>46095</v>
      </c>
      <c r="C402" s="3">
        <v>0.590277777777778</v>
      </c>
      <c r="D402" t="s">
        <v>232</v>
      </c>
      <c r="E402">
        <v>95.61</v>
      </c>
      <c r="F402" t="s">
        <v>32</v>
      </c>
      <c r="G402" t="s">
        <v>71</v>
      </c>
      <c r="H402" t="s">
        <v>8</v>
      </c>
      <c r="I402" t="s">
        <v>14</v>
      </c>
      <c r="J402" t="s">
        <v>24</v>
      </c>
      <c r="K402">
        <v>46</v>
      </c>
      <c r="L402" t="s">
        <v>49</v>
      </c>
      <c r="M402">
        <v>0</v>
      </c>
      <c r="N402">
        <f t="shared" si="27"/>
        <v>1</v>
      </c>
      <c r="P402" s="4">
        <f t="shared" si="24"/>
        <v>14</v>
      </c>
      <c r="Q402" s="4" t="str">
        <f t="shared" si="25"/>
        <v>Late Night</v>
      </c>
      <c r="R402" s="4" t="str">
        <f t="shared" si="26"/>
        <v>Low</v>
      </c>
    </row>
    <row r="403" spans="1:18">
      <c r="A403" t="s">
        <v>632</v>
      </c>
      <c r="B403" s="2">
        <v>46095</v>
      </c>
      <c r="C403" s="3">
        <v>0.0701388888888889</v>
      </c>
      <c r="D403" t="s">
        <v>184</v>
      </c>
      <c r="E403">
        <v>210</v>
      </c>
      <c r="F403" t="s">
        <v>31</v>
      </c>
      <c r="G403" t="s">
        <v>54</v>
      </c>
      <c r="H403" t="s">
        <v>10</v>
      </c>
      <c r="I403" t="s">
        <v>14</v>
      </c>
      <c r="J403" t="s">
        <v>18</v>
      </c>
      <c r="K403">
        <v>56</v>
      </c>
      <c r="L403" t="s">
        <v>49</v>
      </c>
      <c r="M403">
        <v>1</v>
      </c>
      <c r="N403">
        <f t="shared" si="27"/>
        <v>1</v>
      </c>
      <c r="P403" s="4">
        <f t="shared" si="24"/>
        <v>1</v>
      </c>
      <c r="Q403" s="4" t="str">
        <f t="shared" si="25"/>
        <v>Late Night</v>
      </c>
      <c r="R403" s="4" t="str">
        <f t="shared" si="26"/>
        <v>Low</v>
      </c>
    </row>
    <row r="404" spans="1:18">
      <c r="A404" t="s">
        <v>633</v>
      </c>
      <c r="B404" s="2">
        <v>46095</v>
      </c>
      <c r="C404" s="3">
        <v>0.0423611111111111</v>
      </c>
      <c r="D404" t="s">
        <v>579</v>
      </c>
      <c r="E404">
        <v>71.67</v>
      </c>
      <c r="F404" t="s">
        <v>29</v>
      </c>
      <c r="G404" t="s">
        <v>71</v>
      </c>
      <c r="H404" t="s">
        <v>10</v>
      </c>
      <c r="I404" t="s">
        <v>15</v>
      </c>
      <c r="J404" t="s">
        <v>18</v>
      </c>
      <c r="K404">
        <v>21</v>
      </c>
      <c r="L404" t="s">
        <v>49</v>
      </c>
      <c r="M404">
        <v>0</v>
      </c>
      <c r="N404">
        <f t="shared" si="27"/>
        <v>1</v>
      </c>
      <c r="P404" s="4">
        <f t="shared" si="24"/>
        <v>1</v>
      </c>
      <c r="Q404" s="4" t="str">
        <f t="shared" si="25"/>
        <v>Late Night</v>
      </c>
      <c r="R404" s="4" t="str">
        <f t="shared" si="26"/>
        <v>Low</v>
      </c>
    </row>
    <row r="405" spans="1:18">
      <c r="A405" t="s">
        <v>634</v>
      </c>
      <c r="B405" s="2">
        <v>46095</v>
      </c>
      <c r="C405" s="3">
        <v>0.918055555555556</v>
      </c>
      <c r="D405" t="s">
        <v>110</v>
      </c>
      <c r="E405">
        <v>388.18</v>
      </c>
      <c r="F405" t="s">
        <v>31</v>
      </c>
      <c r="G405" t="s">
        <v>48</v>
      </c>
      <c r="H405" t="s">
        <v>8</v>
      </c>
      <c r="I405" t="s">
        <v>15</v>
      </c>
      <c r="J405" t="s">
        <v>18</v>
      </c>
      <c r="K405">
        <v>20</v>
      </c>
      <c r="L405" t="s">
        <v>49</v>
      </c>
      <c r="M405">
        <v>0</v>
      </c>
      <c r="N405">
        <f t="shared" si="27"/>
        <v>1</v>
      </c>
      <c r="P405" s="4">
        <f t="shared" si="24"/>
        <v>22</v>
      </c>
      <c r="Q405" s="4" t="str">
        <f t="shared" si="25"/>
        <v>Late Night</v>
      </c>
      <c r="R405" s="4" t="str">
        <f t="shared" si="26"/>
        <v>Low</v>
      </c>
    </row>
    <row r="406" spans="1:18">
      <c r="A406" t="s">
        <v>635</v>
      </c>
      <c r="B406" s="2">
        <v>46095</v>
      </c>
      <c r="C406" s="3">
        <v>0.890277777777778</v>
      </c>
      <c r="D406" t="s">
        <v>636</v>
      </c>
      <c r="E406">
        <v>366.74</v>
      </c>
      <c r="F406" t="s">
        <v>28</v>
      </c>
      <c r="G406" t="s">
        <v>59</v>
      </c>
      <c r="H406" t="s">
        <v>3</v>
      </c>
      <c r="I406" t="s">
        <v>16</v>
      </c>
      <c r="J406" t="s">
        <v>22</v>
      </c>
      <c r="K406">
        <v>46</v>
      </c>
      <c r="L406" t="s">
        <v>49</v>
      </c>
      <c r="M406">
        <v>0</v>
      </c>
      <c r="N406">
        <f t="shared" si="27"/>
        <v>1</v>
      </c>
      <c r="P406" s="4">
        <f t="shared" si="24"/>
        <v>21</v>
      </c>
      <c r="Q406" s="4" t="str">
        <f t="shared" si="25"/>
        <v>Late Night</v>
      </c>
      <c r="R406" s="4" t="str">
        <f t="shared" si="26"/>
        <v>Low</v>
      </c>
    </row>
    <row r="407" spans="1:18">
      <c r="A407" t="s">
        <v>637</v>
      </c>
      <c r="B407" s="2">
        <v>46095</v>
      </c>
      <c r="C407" s="3">
        <v>0.7875</v>
      </c>
      <c r="D407" t="s">
        <v>61</v>
      </c>
      <c r="E407">
        <v>257.6</v>
      </c>
      <c r="F407" t="s">
        <v>31</v>
      </c>
      <c r="G407" t="s">
        <v>54</v>
      </c>
      <c r="H407" t="s">
        <v>5</v>
      </c>
      <c r="I407" t="s">
        <v>15</v>
      </c>
      <c r="J407" t="s">
        <v>24</v>
      </c>
      <c r="K407">
        <v>28</v>
      </c>
      <c r="L407" t="s">
        <v>49</v>
      </c>
      <c r="M407">
        <v>0</v>
      </c>
      <c r="N407">
        <f t="shared" si="27"/>
        <v>1</v>
      </c>
      <c r="P407" s="4">
        <f t="shared" si="24"/>
        <v>18</v>
      </c>
      <c r="Q407" s="4" t="str">
        <f t="shared" si="25"/>
        <v>Late Night</v>
      </c>
      <c r="R407" s="4" t="str">
        <f t="shared" si="26"/>
        <v>Low</v>
      </c>
    </row>
    <row r="408" spans="1:18">
      <c r="A408" t="s">
        <v>638</v>
      </c>
      <c r="B408" s="2">
        <v>46096</v>
      </c>
      <c r="C408" s="3">
        <v>0.882638888888889</v>
      </c>
      <c r="D408" t="s">
        <v>584</v>
      </c>
      <c r="E408">
        <v>177.77</v>
      </c>
      <c r="F408" t="s">
        <v>28</v>
      </c>
      <c r="G408" t="s">
        <v>54</v>
      </c>
      <c r="H408" t="s">
        <v>3</v>
      </c>
      <c r="I408" t="s">
        <v>15</v>
      </c>
      <c r="J408" t="s">
        <v>22</v>
      </c>
      <c r="K408">
        <v>50</v>
      </c>
      <c r="L408" t="s">
        <v>49</v>
      </c>
      <c r="M408">
        <v>0</v>
      </c>
      <c r="N408">
        <f t="shared" si="27"/>
        <v>1</v>
      </c>
      <c r="P408" s="4">
        <f t="shared" si="24"/>
        <v>21</v>
      </c>
      <c r="Q408" s="4" t="str">
        <f t="shared" si="25"/>
        <v>Late Night</v>
      </c>
      <c r="R408" s="4" t="str">
        <f t="shared" si="26"/>
        <v>Low</v>
      </c>
    </row>
    <row r="409" spans="1:18">
      <c r="A409" t="s">
        <v>639</v>
      </c>
      <c r="B409" s="2">
        <v>46096</v>
      </c>
      <c r="C409" s="3">
        <v>0.888194444444444</v>
      </c>
      <c r="D409" t="s">
        <v>430</v>
      </c>
      <c r="E409">
        <v>350.66</v>
      </c>
      <c r="F409" t="s">
        <v>29</v>
      </c>
      <c r="G409" t="s">
        <v>59</v>
      </c>
      <c r="H409" t="s">
        <v>3</v>
      </c>
      <c r="I409" t="s">
        <v>15</v>
      </c>
      <c r="J409" t="s">
        <v>20</v>
      </c>
      <c r="K409">
        <v>55</v>
      </c>
      <c r="L409" t="s">
        <v>49</v>
      </c>
      <c r="M409">
        <v>0</v>
      </c>
      <c r="N409">
        <f t="shared" si="27"/>
        <v>1</v>
      </c>
      <c r="P409" s="4">
        <f t="shared" si="24"/>
        <v>21</v>
      </c>
      <c r="Q409" s="4" t="str">
        <f t="shared" si="25"/>
        <v>Late Night</v>
      </c>
      <c r="R409" s="4" t="str">
        <f t="shared" si="26"/>
        <v>Low</v>
      </c>
    </row>
    <row r="410" spans="1:18">
      <c r="A410" t="s">
        <v>640</v>
      </c>
      <c r="B410" s="2">
        <v>46096</v>
      </c>
      <c r="C410" s="3">
        <v>0.669444444444444</v>
      </c>
      <c r="D410" t="s">
        <v>282</v>
      </c>
      <c r="E410">
        <v>399.97</v>
      </c>
      <c r="F410" t="s">
        <v>31</v>
      </c>
      <c r="G410" t="s">
        <v>59</v>
      </c>
      <c r="H410" t="s">
        <v>8</v>
      </c>
      <c r="I410" t="s">
        <v>15</v>
      </c>
      <c r="J410" t="s">
        <v>19</v>
      </c>
      <c r="K410">
        <v>28</v>
      </c>
      <c r="L410" t="s">
        <v>49</v>
      </c>
      <c r="M410">
        <v>0</v>
      </c>
      <c r="N410">
        <f t="shared" si="27"/>
        <v>1</v>
      </c>
      <c r="P410" s="4">
        <f t="shared" si="24"/>
        <v>16</v>
      </c>
      <c r="Q410" s="4" t="str">
        <f t="shared" si="25"/>
        <v>Late Night</v>
      </c>
      <c r="R410" s="4" t="str">
        <f t="shared" si="26"/>
        <v>Low</v>
      </c>
    </row>
    <row r="411" spans="1:18">
      <c r="A411" t="s">
        <v>641</v>
      </c>
      <c r="B411" s="2">
        <v>46096</v>
      </c>
      <c r="C411" s="3">
        <v>0.816666666666667</v>
      </c>
      <c r="D411" t="s">
        <v>642</v>
      </c>
      <c r="E411">
        <v>285.69</v>
      </c>
      <c r="F411" t="s">
        <v>29</v>
      </c>
      <c r="G411" t="s">
        <v>48</v>
      </c>
      <c r="H411" t="s">
        <v>9</v>
      </c>
      <c r="I411" t="s">
        <v>15</v>
      </c>
      <c r="J411" t="s">
        <v>21</v>
      </c>
      <c r="K411">
        <v>44</v>
      </c>
      <c r="L411" t="s">
        <v>49</v>
      </c>
      <c r="M411">
        <v>0</v>
      </c>
      <c r="N411">
        <f t="shared" si="27"/>
        <v>1</v>
      </c>
      <c r="P411" s="4">
        <f t="shared" si="24"/>
        <v>19</v>
      </c>
      <c r="Q411" s="4" t="str">
        <f t="shared" si="25"/>
        <v>Late Night</v>
      </c>
      <c r="R411" s="4" t="str">
        <f t="shared" si="26"/>
        <v>Low</v>
      </c>
    </row>
    <row r="412" spans="1:18">
      <c r="A412" t="s">
        <v>643</v>
      </c>
      <c r="B412" s="2">
        <v>46096</v>
      </c>
      <c r="C412" s="3">
        <v>0.400694444444444</v>
      </c>
      <c r="D412" t="s">
        <v>269</v>
      </c>
      <c r="E412">
        <v>48.82</v>
      </c>
      <c r="F412" t="s">
        <v>29</v>
      </c>
      <c r="G412" t="s">
        <v>48</v>
      </c>
      <c r="H412" t="s">
        <v>9</v>
      </c>
      <c r="I412" t="s">
        <v>15</v>
      </c>
      <c r="J412" t="s">
        <v>24</v>
      </c>
      <c r="K412">
        <v>50</v>
      </c>
      <c r="L412" t="s">
        <v>49</v>
      </c>
      <c r="M412">
        <v>0</v>
      </c>
      <c r="N412">
        <f t="shared" si="27"/>
        <v>1</v>
      </c>
      <c r="P412" s="4">
        <f t="shared" si="24"/>
        <v>9</v>
      </c>
      <c r="Q412" s="4" t="str">
        <f t="shared" si="25"/>
        <v>Late Night</v>
      </c>
      <c r="R412" s="4" t="str">
        <f t="shared" si="26"/>
        <v>Low</v>
      </c>
    </row>
    <row r="413" spans="1:18">
      <c r="A413" t="s">
        <v>644</v>
      </c>
      <c r="B413" s="2">
        <v>46097</v>
      </c>
      <c r="C413" s="3">
        <v>0.228472222222222</v>
      </c>
      <c r="D413" t="s">
        <v>385</v>
      </c>
      <c r="E413">
        <v>82.4</v>
      </c>
      <c r="F413" t="s">
        <v>32</v>
      </c>
      <c r="G413" t="s">
        <v>59</v>
      </c>
      <c r="H413" t="s">
        <v>9</v>
      </c>
      <c r="I413" t="s">
        <v>15</v>
      </c>
      <c r="J413" t="s">
        <v>21</v>
      </c>
      <c r="K413">
        <v>38</v>
      </c>
      <c r="L413" t="s">
        <v>159</v>
      </c>
      <c r="M413">
        <v>0</v>
      </c>
      <c r="N413">
        <f t="shared" si="27"/>
        <v>1</v>
      </c>
      <c r="P413" s="4">
        <f t="shared" si="24"/>
        <v>5</v>
      </c>
      <c r="Q413" s="4" t="str">
        <f t="shared" si="25"/>
        <v>Late Night</v>
      </c>
      <c r="R413" s="4" t="str">
        <f t="shared" si="26"/>
        <v>Low</v>
      </c>
    </row>
    <row r="414" spans="1:18">
      <c r="A414" t="s">
        <v>645</v>
      </c>
      <c r="B414" s="2">
        <v>46097</v>
      </c>
      <c r="C414" s="3">
        <v>0.588888888888889</v>
      </c>
      <c r="D414" t="s">
        <v>97</v>
      </c>
      <c r="E414">
        <v>138.65</v>
      </c>
      <c r="F414" t="s">
        <v>31</v>
      </c>
      <c r="G414" t="s">
        <v>59</v>
      </c>
      <c r="H414" t="s">
        <v>5</v>
      </c>
      <c r="I414" t="s">
        <v>15</v>
      </c>
      <c r="J414" t="s">
        <v>19</v>
      </c>
      <c r="K414">
        <v>56</v>
      </c>
      <c r="L414" t="s">
        <v>168</v>
      </c>
      <c r="M414">
        <v>1</v>
      </c>
      <c r="N414">
        <f t="shared" si="27"/>
        <v>1</v>
      </c>
      <c r="P414" s="4">
        <f t="shared" si="24"/>
        <v>14</v>
      </c>
      <c r="Q414" s="4" t="str">
        <f t="shared" si="25"/>
        <v>Late Night</v>
      </c>
      <c r="R414" s="4" t="str">
        <f t="shared" si="26"/>
        <v>Low</v>
      </c>
    </row>
    <row r="415" spans="1:18">
      <c r="A415" t="s">
        <v>646</v>
      </c>
      <c r="B415" s="2">
        <v>46097</v>
      </c>
      <c r="C415" s="3">
        <v>0.897916666666667</v>
      </c>
      <c r="D415" t="s">
        <v>596</v>
      </c>
      <c r="E415">
        <v>41.44</v>
      </c>
      <c r="F415" t="s">
        <v>31</v>
      </c>
      <c r="G415" t="s">
        <v>71</v>
      </c>
      <c r="H415" t="s">
        <v>3</v>
      </c>
      <c r="I415" t="s">
        <v>14</v>
      </c>
      <c r="J415" t="s">
        <v>18</v>
      </c>
      <c r="K415">
        <v>48</v>
      </c>
      <c r="L415" t="s">
        <v>49</v>
      </c>
      <c r="M415">
        <v>0</v>
      </c>
      <c r="N415">
        <f t="shared" si="27"/>
        <v>1</v>
      </c>
      <c r="P415" s="4">
        <f t="shared" si="24"/>
        <v>21</v>
      </c>
      <c r="Q415" s="4" t="str">
        <f t="shared" si="25"/>
        <v>Late Night</v>
      </c>
      <c r="R415" s="4" t="str">
        <f t="shared" si="26"/>
        <v>Low</v>
      </c>
    </row>
    <row r="416" spans="1:18">
      <c r="A416" t="s">
        <v>647</v>
      </c>
      <c r="B416" s="2">
        <v>46097</v>
      </c>
      <c r="C416" s="3">
        <v>0.452777777777778</v>
      </c>
      <c r="D416" t="s">
        <v>219</v>
      </c>
      <c r="E416">
        <v>226.79</v>
      </c>
      <c r="F416" t="s">
        <v>31</v>
      </c>
      <c r="G416" t="s">
        <v>66</v>
      </c>
      <c r="H416" t="s">
        <v>4</v>
      </c>
      <c r="I416" t="s">
        <v>15</v>
      </c>
      <c r="J416" t="s">
        <v>24</v>
      </c>
      <c r="K416">
        <v>55</v>
      </c>
      <c r="L416" t="s">
        <v>49</v>
      </c>
      <c r="M416">
        <v>0</v>
      </c>
      <c r="N416">
        <f t="shared" si="27"/>
        <v>1</v>
      </c>
      <c r="P416" s="4">
        <f t="shared" si="24"/>
        <v>10</v>
      </c>
      <c r="Q416" s="4" t="str">
        <f t="shared" si="25"/>
        <v>Late Night</v>
      </c>
      <c r="R416" s="4" t="str">
        <f t="shared" si="26"/>
        <v>Low</v>
      </c>
    </row>
    <row r="417" spans="1:18">
      <c r="A417" t="s">
        <v>648</v>
      </c>
      <c r="B417" s="2">
        <v>46097</v>
      </c>
      <c r="C417" s="3">
        <v>0.196527777777778</v>
      </c>
      <c r="D417" t="s">
        <v>649</v>
      </c>
      <c r="E417">
        <v>743.23</v>
      </c>
      <c r="F417" t="s">
        <v>32</v>
      </c>
      <c r="G417" t="s">
        <v>71</v>
      </c>
      <c r="H417" t="s">
        <v>7</v>
      </c>
      <c r="I417" t="s">
        <v>15</v>
      </c>
      <c r="J417" t="s">
        <v>23</v>
      </c>
      <c r="K417">
        <v>63</v>
      </c>
      <c r="L417" t="s">
        <v>85</v>
      </c>
      <c r="M417">
        <v>1</v>
      </c>
      <c r="N417">
        <f t="shared" si="27"/>
        <v>1</v>
      </c>
      <c r="P417" s="4">
        <f t="shared" si="24"/>
        <v>4</v>
      </c>
      <c r="Q417" s="4" t="str">
        <f t="shared" si="25"/>
        <v>Late Night</v>
      </c>
      <c r="R417" s="4" t="str">
        <f t="shared" si="26"/>
        <v>Low</v>
      </c>
    </row>
    <row r="418" spans="1:18">
      <c r="A418" t="s">
        <v>650</v>
      </c>
      <c r="B418" s="2">
        <v>46097</v>
      </c>
      <c r="C418" s="3">
        <v>0.0236111111111111</v>
      </c>
      <c r="D418" t="s">
        <v>651</v>
      </c>
      <c r="E418">
        <v>633.77</v>
      </c>
      <c r="F418" t="s">
        <v>32</v>
      </c>
      <c r="G418" t="s">
        <v>59</v>
      </c>
      <c r="H418" t="s">
        <v>9</v>
      </c>
      <c r="I418" t="s">
        <v>15</v>
      </c>
      <c r="J418" t="s">
        <v>22</v>
      </c>
      <c r="K418">
        <v>19</v>
      </c>
      <c r="L418" t="s">
        <v>49</v>
      </c>
      <c r="M418">
        <v>0</v>
      </c>
      <c r="N418">
        <f t="shared" si="27"/>
        <v>1</v>
      </c>
      <c r="P418" s="4">
        <f t="shared" si="24"/>
        <v>0</v>
      </c>
      <c r="Q418" s="4" t="str">
        <f t="shared" si="25"/>
        <v>Late Night</v>
      </c>
      <c r="R418" s="4" t="str">
        <f t="shared" si="26"/>
        <v>Low</v>
      </c>
    </row>
    <row r="419" spans="1:18">
      <c r="A419" t="s">
        <v>652</v>
      </c>
      <c r="B419" s="2">
        <v>46098</v>
      </c>
      <c r="C419" s="3">
        <v>0.327083333333333</v>
      </c>
      <c r="D419" t="s">
        <v>390</v>
      </c>
      <c r="E419">
        <v>379.79</v>
      </c>
      <c r="F419" t="s">
        <v>28</v>
      </c>
      <c r="G419" t="s">
        <v>48</v>
      </c>
      <c r="H419" t="s">
        <v>9</v>
      </c>
      <c r="I419" t="s">
        <v>15</v>
      </c>
      <c r="J419" t="s">
        <v>22</v>
      </c>
      <c r="K419">
        <v>44</v>
      </c>
      <c r="L419" t="s">
        <v>49</v>
      </c>
      <c r="M419">
        <v>0</v>
      </c>
      <c r="N419">
        <f t="shared" si="27"/>
        <v>1</v>
      </c>
      <c r="P419" s="4">
        <f t="shared" si="24"/>
        <v>7</v>
      </c>
      <c r="Q419" s="4" t="str">
        <f t="shared" si="25"/>
        <v>Late Night</v>
      </c>
      <c r="R419" s="4" t="str">
        <f t="shared" si="26"/>
        <v>Low</v>
      </c>
    </row>
    <row r="420" spans="1:18">
      <c r="A420" t="s">
        <v>653</v>
      </c>
      <c r="B420" s="2">
        <v>46098</v>
      </c>
      <c r="C420" s="3">
        <v>0.872916666666667</v>
      </c>
      <c r="D420" t="s">
        <v>139</v>
      </c>
      <c r="E420">
        <v>375.29</v>
      </c>
      <c r="F420" t="s">
        <v>30</v>
      </c>
      <c r="G420" t="s">
        <v>48</v>
      </c>
      <c r="H420" t="s">
        <v>10</v>
      </c>
      <c r="I420" t="s">
        <v>15</v>
      </c>
      <c r="J420" t="s">
        <v>24</v>
      </c>
      <c r="K420">
        <v>53</v>
      </c>
      <c r="L420" t="s">
        <v>49</v>
      </c>
      <c r="M420">
        <v>0</v>
      </c>
      <c r="N420">
        <f t="shared" si="27"/>
        <v>1</v>
      </c>
      <c r="P420" s="4">
        <f t="shared" si="24"/>
        <v>20</v>
      </c>
      <c r="Q420" s="4" t="str">
        <f t="shared" si="25"/>
        <v>Late Night</v>
      </c>
      <c r="R420" s="4" t="str">
        <f t="shared" si="26"/>
        <v>Low</v>
      </c>
    </row>
    <row r="421" spans="1:18">
      <c r="A421" t="s">
        <v>654</v>
      </c>
      <c r="B421" s="2">
        <v>46098</v>
      </c>
      <c r="C421" s="3">
        <v>0.472916666666667</v>
      </c>
      <c r="D421" t="s">
        <v>655</v>
      </c>
      <c r="E421">
        <v>1661.2</v>
      </c>
      <c r="F421" t="s">
        <v>28</v>
      </c>
      <c r="G421" t="s">
        <v>66</v>
      </c>
      <c r="H421" t="s">
        <v>3</v>
      </c>
      <c r="I421" t="s">
        <v>15</v>
      </c>
      <c r="J421" t="s">
        <v>19</v>
      </c>
      <c r="K421">
        <v>28</v>
      </c>
      <c r="L421" t="s">
        <v>49</v>
      </c>
      <c r="M421">
        <v>0</v>
      </c>
      <c r="N421">
        <f t="shared" si="27"/>
        <v>1</v>
      </c>
      <c r="P421" s="4">
        <f t="shared" si="24"/>
        <v>11</v>
      </c>
      <c r="Q421" s="4" t="str">
        <f t="shared" si="25"/>
        <v>Late Night</v>
      </c>
      <c r="R421" s="4" t="str">
        <f t="shared" si="26"/>
        <v>Medium</v>
      </c>
    </row>
    <row r="422" spans="1:18">
      <c r="A422" t="s">
        <v>656</v>
      </c>
      <c r="B422" s="2">
        <v>46098</v>
      </c>
      <c r="C422" s="3">
        <v>0.488194444444444</v>
      </c>
      <c r="D422" t="s">
        <v>340</v>
      </c>
      <c r="E422">
        <v>421.52</v>
      </c>
      <c r="F422" t="s">
        <v>29</v>
      </c>
      <c r="G422" t="s">
        <v>59</v>
      </c>
      <c r="H422" t="s">
        <v>3</v>
      </c>
      <c r="I422" t="s">
        <v>14</v>
      </c>
      <c r="J422" t="s">
        <v>18</v>
      </c>
      <c r="K422">
        <v>64</v>
      </c>
      <c r="L422" t="s">
        <v>49</v>
      </c>
      <c r="M422">
        <v>0</v>
      </c>
      <c r="N422">
        <f t="shared" si="27"/>
        <v>1</v>
      </c>
      <c r="P422" s="4">
        <f t="shared" si="24"/>
        <v>11</v>
      </c>
      <c r="Q422" s="4" t="str">
        <f t="shared" si="25"/>
        <v>Late Night</v>
      </c>
      <c r="R422" s="4" t="str">
        <f t="shared" si="26"/>
        <v>Low</v>
      </c>
    </row>
    <row r="423" spans="1:18">
      <c r="A423" t="s">
        <v>657</v>
      </c>
      <c r="B423" s="2">
        <v>46098</v>
      </c>
      <c r="C423" s="3">
        <v>0.182638888888889</v>
      </c>
      <c r="D423" t="s">
        <v>457</v>
      </c>
      <c r="E423">
        <v>457.44</v>
      </c>
      <c r="F423" t="s">
        <v>31</v>
      </c>
      <c r="G423" t="s">
        <v>48</v>
      </c>
      <c r="H423" t="s">
        <v>5</v>
      </c>
      <c r="I423" t="s">
        <v>14</v>
      </c>
      <c r="J423" t="s">
        <v>22</v>
      </c>
      <c r="K423">
        <v>35</v>
      </c>
      <c r="L423" t="s">
        <v>85</v>
      </c>
      <c r="M423">
        <v>1</v>
      </c>
      <c r="N423">
        <f t="shared" si="27"/>
        <v>1</v>
      </c>
      <c r="P423" s="4">
        <f t="shared" si="24"/>
        <v>4</v>
      </c>
      <c r="Q423" s="4" t="str">
        <f t="shared" si="25"/>
        <v>Late Night</v>
      </c>
      <c r="R423" s="4" t="str">
        <f t="shared" si="26"/>
        <v>Low</v>
      </c>
    </row>
    <row r="424" spans="1:18">
      <c r="A424" t="s">
        <v>658</v>
      </c>
      <c r="B424" s="2">
        <v>46099</v>
      </c>
      <c r="C424" s="3">
        <v>0.261111111111111</v>
      </c>
      <c r="D424" t="s">
        <v>151</v>
      </c>
      <c r="E424">
        <v>43</v>
      </c>
      <c r="F424" t="s">
        <v>29</v>
      </c>
      <c r="G424" t="s">
        <v>54</v>
      </c>
      <c r="H424" t="s">
        <v>5</v>
      </c>
      <c r="I424" t="s">
        <v>15</v>
      </c>
      <c r="J424" t="s">
        <v>18</v>
      </c>
      <c r="K424">
        <v>18</v>
      </c>
      <c r="L424" t="s">
        <v>49</v>
      </c>
      <c r="M424">
        <v>0</v>
      </c>
      <c r="N424">
        <f t="shared" si="27"/>
        <v>1</v>
      </c>
      <c r="P424" s="4">
        <f t="shared" si="24"/>
        <v>6</v>
      </c>
      <c r="Q424" s="4" t="str">
        <f t="shared" si="25"/>
        <v>Late Night</v>
      </c>
      <c r="R424" s="4" t="str">
        <f t="shared" si="26"/>
        <v>Low</v>
      </c>
    </row>
    <row r="425" spans="1:18">
      <c r="A425" t="s">
        <v>659</v>
      </c>
      <c r="B425" s="2">
        <v>46099</v>
      </c>
      <c r="C425" s="3">
        <v>0.13125</v>
      </c>
      <c r="D425" t="s">
        <v>47</v>
      </c>
      <c r="E425">
        <v>687.33</v>
      </c>
      <c r="F425" t="s">
        <v>31</v>
      </c>
      <c r="G425" t="s">
        <v>71</v>
      </c>
      <c r="H425" t="s">
        <v>9</v>
      </c>
      <c r="I425" t="s">
        <v>15</v>
      </c>
      <c r="J425" t="s">
        <v>20</v>
      </c>
      <c r="K425">
        <v>52</v>
      </c>
      <c r="L425" t="s">
        <v>49</v>
      </c>
      <c r="M425">
        <v>0</v>
      </c>
      <c r="N425">
        <f t="shared" si="27"/>
        <v>1</v>
      </c>
      <c r="P425" s="4">
        <f t="shared" si="24"/>
        <v>3</v>
      </c>
      <c r="Q425" s="4" t="str">
        <f t="shared" si="25"/>
        <v>Late Night</v>
      </c>
      <c r="R425" s="4" t="str">
        <f t="shared" si="26"/>
        <v>Low</v>
      </c>
    </row>
    <row r="426" spans="1:18">
      <c r="A426" t="s">
        <v>660</v>
      </c>
      <c r="B426" s="2">
        <v>46099</v>
      </c>
      <c r="C426" s="3">
        <v>0.228472222222222</v>
      </c>
      <c r="D426" t="s">
        <v>282</v>
      </c>
      <c r="E426">
        <v>270.02</v>
      </c>
      <c r="F426" t="s">
        <v>30</v>
      </c>
      <c r="G426" t="s">
        <v>54</v>
      </c>
      <c r="H426" t="s">
        <v>3</v>
      </c>
      <c r="I426" t="s">
        <v>15</v>
      </c>
      <c r="J426" t="s">
        <v>21</v>
      </c>
      <c r="K426">
        <v>52</v>
      </c>
      <c r="L426" t="s">
        <v>49</v>
      </c>
      <c r="M426">
        <v>0</v>
      </c>
      <c r="N426">
        <f t="shared" si="27"/>
        <v>1</v>
      </c>
      <c r="P426" s="4">
        <f t="shared" si="24"/>
        <v>5</v>
      </c>
      <c r="Q426" s="4" t="str">
        <f t="shared" si="25"/>
        <v>Late Night</v>
      </c>
      <c r="R426" s="4" t="str">
        <f t="shared" si="26"/>
        <v>Low</v>
      </c>
    </row>
    <row r="427" spans="1:18">
      <c r="A427" t="s">
        <v>661</v>
      </c>
      <c r="B427" s="2">
        <v>46099</v>
      </c>
      <c r="C427" s="3">
        <v>0.538194444444444</v>
      </c>
      <c r="D427" t="s">
        <v>331</v>
      </c>
      <c r="E427">
        <v>167.37</v>
      </c>
      <c r="F427" t="s">
        <v>29</v>
      </c>
      <c r="G427" t="s">
        <v>54</v>
      </c>
      <c r="H427" t="s">
        <v>4</v>
      </c>
      <c r="I427" t="s">
        <v>14</v>
      </c>
      <c r="J427" t="s">
        <v>19</v>
      </c>
      <c r="K427">
        <v>48</v>
      </c>
      <c r="L427" t="s">
        <v>49</v>
      </c>
      <c r="M427">
        <v>0</v>
      </c>
      <c r="N427">
        <f t="shared" si="27"/>
        <v>1</v>
      </c>
      <c r="P427" s="4">
        <f t="shared" si="24"/>
        <v>12</v>
      </c>
      <c r="Q427" s="4" t="str">
        <f t="shared" si="25"/>
        <v>Late Night</v>
      </c>
      <c r="R427" s="4" t="str">
        <f t="shared" si="26"/>
        <v>Low</v>
      </c>
    </row>
    <row r="428" spans="1:18">
      <c r="A428" t="s">
        <v>662</v>
      </c>
      <c r="B428" s="2">
        <v>46099</v>
      </c>
      <c r="C428" s="3">
        <v>0.831944444444444</v>
      </c>
      <c r="D428" t="s">
        <v>214</v>
      </c>
      <c r="E428">
        <v>130.63</v>
      </c>
      <c r="F428" t="s">
        <v>29</v>
      </c>
      <c r="G428" t="s">
        <v>54</v>
      </c>
      <c r="H428" t="s">
        <v>7</v>
      </c>
      <c r="I428" t="s">
        <v>14</v>
      </c>
      <c r="J428" t="s">
        <v>23</v>
      </c>
      <c r="K428">
        <v>45</v>
      </c>
      <c r="L428" t="s">
        <v>159</v>
      </c>
      <c r="M428">
        <v>0</v>
      </c>
      <c r="N428">
        <f t="shared" si="27"/>
        <v>1</v>
      </c>
      <c r="P428" s="4">
        <f t="shared" si="24"/>
        <v>19</v>
      </c>
      <c r="Q428" s="4" t="str">
        <f t="shared" si="25"/>
        <v>Late Night</v>
      </c>
      <c r="R428" s="4" t="str">
        <f t="shared" si="26"/>
        <v>Low</v>
      </c>
    </row>
    <row r="429" spans="1:18">
      <c r="A429" t="s">
        <v>663</v>
      </c>
      <c r="B429" s="2">
        <v>46099</v>
      </c>
      <c r="C429" s="3">
        <v>0.614583333333333</v>
      </c>
      <c r="D429" t="s">
        <v>437</v>
      </c>
      <c r="E429">
        <v>104.73</v>
      </c>
      <c r="F429" t="s">
        <v>31</v>
      </c>
      <c r="G429" t="s">
        <v>48</v>
      </c>
      <c r="H429" t="s">
        <v>8</v>
      </c>
      <c r="I429" t="s">
        <v>15</v>
      </c>
      <c r="J429" t="s">
        <v>21</v>
      </c>
      <c r="K429">
        <v>56</v>
      </c>
      <c r="L429" t="s">
        <v>49</v>
      </c>
      <c r="M429">
        <v>0</v>
      </c>
      <c r="N429">
        <f t="shared" si="27"/>
        <v>1</v>
      </c>
      <c r="P429" s="4">
        <f t="shared" si="24"/>
        <v>14</v>
      </c>
      <c r="Q429" s="4" t="str">
        <f t="shared" si="25"/>
        <v>Late Night</v>
      </c>
      <c r="R429" s="4" t="str">
        <f t="shared" si="26"/>
        <v>Low</v>
      </c>
    </row>
    <row r="430" spans="1:18">
      <c r="A430" t="s">
        <v>664</v>
      </c>
      <c r="B430" s="2">
        <v>46100</v>
      </c>
      <c r="C430" s="3">
        <v>0.0986111111111111</v>
      </c>
      <c r="D430" t="s">
        <v>665</v>
      </c>
      <c r="E430">
        <v>637</v>
      </c>
      <c r="F430" t="s">
        <v>31</v>
      </c>
      <c r="G430" t="s">
        <v>54</v>
      </c>
      <c r="H430" t="s">
        <v>3</v>
      </c>
      <c r="I430" t="s">
        <v>15</v>
      </c>
      <c r="J430" t="s">
        <v>21</v>
      </c>
      <c r="K430">
        <v>18</v>
      </c>
      <c r="L430" t="s">
        <v>168</v>
      </c>
      <c r="M430">
        <v>1</v>
      </c>
      <c r="N430">
        <f t="shared" si="27"/>
        <v>1</v>
      </c>
      <c r="P430" s="4">
        <f t="shared" si="24"/>
        <v>2</v>
      </c>
      <c r="Q430" s="4" t="str">
        <f t="shared" si="25"/>
        <v>Late Night</v>
      </c>
      <c r="R430" s="4" t="str">
        <f t="shared" si="26"/>
        <v>Low</v>
      </c>
    </row>
    <row r="431" spans="1:18">
      <c r="A431" t="s">
        <v>666</v>
      </c>
      <c r="B431" s="2">
        <v>46100</v>
      </c>
      <c r="C431" s="3">
        <v>0.938194444444444</v>
      </c>
      <c r="D431" t="s">
        <v>649</v>
      </c>
      <c r="E431">
        <v>176.2</v>
      </c>
      <c r="F431" t="s">
        <v>31</v>
      </c>
      <c r="G431" t="s">
        <v>54</v>
      </c>
      <c r="H431" t="s">
        <v>10</v>
      </c>
      <c r="I431" t="s">
        <v>15</v>
      </c>
      <c r="J431" t="s">
        <v>20</v>
      </c>
      <c r="K431">
        <v>42</v>
      </c>
      <c r="L431" t="s">
        <v>49</v>
      </c>
      <c r="M431">
        <v>0</v>
      </c>
      <c r="N431">
        <f t="shared" si="27"/>
        <v>1</v>
      </c>
      <c r="P431" s="4">
        <f t="shared" si="24"/>
        <v>22</v>
      </c>
      <c r="Q431" s="4" t="str">
        <f t="shared" si="25"/>
        <v>Late Night</v>
      </c>
      <c r="R431" s="4" t="str">
        <f t="shared" si="26"/>
        <v>Low</v>
      </c>
    </row>
    <row r="432" spans="1:18">
      <c r="A432" t="s">
        <v>667</v>
      </c>
      <c r="B432" s="2">
        <v>46100</v>
      </c>
      <c r="C432" s="3">
        <v>0.302777777777778</v>
      </c>
      <c r="D432" t="s">
        <v>137</v>
      </c>
      <c r="E432">
        <v>108.67</v>
      </c>
      <c r="F432" t="s">
        <v>31</v>
      </c>
      <c r="G432" t="s">
        <v>48</v>
      </c>
      <c r="H432" t="s">
        <v>8</v>
      </c>
      <c r="I432" t="s">
        <v>15</v>
      </c>
      <c r="J432" t="s">
        <v>22</v>
      </c>
      <c r="K432">
        <v>60</v>
      </c>
      <c r="L432" t="s">
        <v>49</v>
      </c>
      <c r="M432">
        <v>0</v>
      </c>
      <c r="N432">
        <f t="shared" si="27"/>
        <v>1</v>
      </c>
      <c r="P432" s="4">
        <f t="shared" si="24"/>
        <v>7</v>
      </c>
      <c r="Q432" s="4" t="str">
        <f t="shared" si="25"/>
        <v>Late Night</v>
      </c>
      <c r="R432" s="4" t="str">
        <f t="shared" si="26"/>
        <v>Low</v>
      </c>
    </row>
    <row r="433" spans="1:18">
      <c r="A433" t="s">
        <v>668</v>
      </c>
      <c r="B433" s="2">
        <v>46100</v>
      </c>
      <c r="C433" s="3">
        <v>0.825694444444444</v>
      </c>
      <c r="D433" t="s">
        <v>669</v>
      </c>
      <c r="E433">
        <v>83.8</v>
      </c>
      <c r="F433" t="s">
        <v>31</v>
      </c>
      <c r="G433" t="s">
        <v>66</v>
      </c>
      <c r="H433" t="s">
        <v>3</v>
      </c>
      <c r="I433" t="s">
        <v>15</v>
      </c>
      <c r="J433" t="s">
        <v>23</v>
      </c>
      <c r="K433">
        <v>55</v>
      </c>
      <c r="L433" t="s">
        <v>49</v>
      </c>
      <c r="M433">
        <v>0</v>
      </c>
      <c r="N433">
        <f t="shared" si="27"/>
        <v>1</v>
      </c>
      <c r="P433" s="4">
        <f t="shared" si="24"/>
        <v>19</v>
      </c>
      <c r="Q433" s="4" t="str">
        <f t="shared" si="25"/>
        <v>Late Night</v>
      </c>
      <c r="R433" s="4" t="str">
        <f t="shared" si="26"/>
        <v>Low</v>
      </c>
    </row>
    <row r="434" spans="1:18">
      <c r="A434" t="s">
        <v>670</v>
      </c>
      <c r="B434" s="2">
        <v>46100</v>
      </c>
      <c r="C434" s="3">
        <v>0.659722222222222</v>
      </c>
      <c r="D434" t="s">
        <v>174</v>
      </c>
      <c r="E434">
        <v>214.99</v>
      </c>
      <c r="F434" t="s">
        <v>32</v>
      </c>
      <c r="G434" t="s">
        <v>54</v>
      </c>
      <c r="H434" t="s">
        <v>6</v>
      </c>
      <c r="I434" t="s">
        <v>15</v>
      </c>
      <c r="J434" t="s">
        <v>22</v>
      </c>
      <c r="K434">
        <v>37</v>
      </c>
      <c r="L434" t="s">
        <v>49</v>
      </c>
      <c r="M434">
        <v>0</v>
      </c>
      <c r="N434">
        <f t="shared" si="27"/>
        <v>1</v>
      </c>
      <c r="P434" s="4">
        <f t="shared" si="24"/>
        <v>15</v>
      </c>
      <c r="Q434" s="4" t="str">
        <f t="shared" si="25"/>
        <v>Late Night</v>
      </c>
      <c r="R434" s="4" t="str">
        <f t="shared" si="26"/>
        <v>Low</v>
      </c>
    </row>
    <row r="435" spans="1:18">
      <c r="A435" t="s">
        <v>671</v>
      </c>
      <c r="B435" s="2">
        <v>46101</v>
      </c>
      <c r="C435" s="3">
        <v>0.511111111111111</v>
      </c>
      <c r="D435" t="s">
        <v>617</v>
      </c>
      <c r="E435">
        <v>126.52</v>
      </c>
      <c r="F435" t="s">
        <v>28</v>
      </c>
      <c r="G435" t="s">
        <v>66</v>
      </c>
      <c r="H435" t="s">
        <v>5</v>
      </c>
      <c r="I435" t="s">
        <v>15</v>
      </c>
      <c r="J435" t="s">
        <v>24</v>
      </c>
      <c r="K435">
        <v>20</v>
      </c>
      <c r="L435" t="s">
        <v>49</v>
      </c>
      <c r="M435">
        <v>0</v>
      </c>
      <c r="N435">
        <f t="shared" si="27"/>
        <v>1</v>
      </c>
      <c r="P435" s="4">
        <f t="shared" si="24"/>
        <v>12</v>
      </c>
      <c r="Q435" s="4" t="str">
        <f t="shared" si="25"/>
        <v>Late Night</v>
      </c>
      <c r="R435" s="4" t="str">
        <f t="shared" si="26"/>
        <v>Low</v>
      </c>
    </row>
    <row r="436" spans="1:18">
      <c r="A436" t="s">
        <v>672</v>
      </c>
      <c r="B436" s="2">
        <v>46101</v>
      </c>
      <c r="C436" s="3">
        <v>0.717361111111111</v>
      </c>
      <c r="D436" t="s">
        <v>80</v>
      </c>
      <c r="E436">
        <v>100.71</v>
      </c>
      <c r="F436" t="s">
        <v>31</v>
      </c>
      <c r="G436" t="s">
        <v>66</v>
      </c>
      <c r="H436" t="s">
        <v>10</v>
      </c>
      <c r="I436" t="s">
        <v>14</v>
      </c>
      <c r="J436" t="s">
        <v>21</v>
      </c>
      <c r="K436">
        <v>19</v>
      </c>
      <c r="L436" t="s">
        <v>49</v>
      </c>
      <c r="M436">
        <v>0</v>
      </c>
      <c r="N436">
        <f t="shared" si="27"/>
        <v>1</v>
      </c>
      <c r="P436" s="4">
        <f t="shared" si="24"/>
        <v>17</v>
      </c>
      <c r="Q436" s="4" t="str">
        <f t="shared" si="25"/>
        <v>Late Night</v>
      </c>
      <c r="R436" s="4" t="str">
        <f t="shared" si="26"/>
        <v>Low</v>
      </c>
    </row>
    <row r="437" spans="1:18">
      <c r="A437" t="s">
        <v>673</v>
      </c>
      <c r="B437" s="2">
        <v>46101</v>
      </c>
      <c r="C437" s="3">
        <v>0.380555555555556</v>
      </c>
      <c r="D437" t="s">
        <v>89</v>
      </c>
      <c r="E437">
        <v>45.51</v>
      </c>
      <c r="F437" t="s">
        <v>31</v>
      </c>
      <c r="G437" t="s">
        <v>48</v>
      </c>
      <c r="H437" t="s">
        <v>7</v>
      </c>
      <c r="I437" t="s">
        <v>16</v>
      </c>
      <c r="J437" t="s">
        <v>24</v>
      </c>
      <c r="K437">
        <v>35</v>
      </c>
      <c r="L437" t="s">
        <v>49</v>
      </c>
      <c r="M437">
        <v>0</v>
      </c>
      <c r="N437">
        <f t="shared" si="27"/>
        <v>1</v>
      </c>
      <c r="P437" s="4">
        <f t="shared" si="24"/>
        <v>9</v>
      </c>
      <c r="Q437" s="4" t="str">
        <f t="shared" si="25"/>
        <v>Late Night</v>
      </c>
      <c r="R437" s="4" t="str">
        <f t="shared" si="26"/>
        <v>Low</v>
      </c>
    </row>
    <row r="438" spans="1:18">
      <c r="A438" t="s">
        <v>674</v>
      </c>
      <c r="B438" s="2">
        <v>46101</v>
      </c>
      <c r="C438" s="3">
        <v>0.777083333333333</v>
      </c>
      <c r="D438" t="s">
        <v>497</v>
      </c>
      <c r="E438">
        <v>473.12</v>
      </c>
      <c r="F438" t="s">
        <v>28</v>
      </c>
      <c r="G438" t="s">
        <v>59</v>
      </c>
      <c r="H438" t="s">
        <v>9</v>
      </c>
      <c r="I438" t="s">
        <v>15</v>
      </c>
      <c r="J438" t="s">
        <v>18</v>
      </c>
      <c r="K438">
        <v>61</v>
      </c>
      <c r="L438" t="s">
        <v>49</v>
      </c>
      <c r="M438">
        <v>0</v>
      </c>
      <c r="N438">
        <f t="shared" si="27"/>
        <v>1</v>
      </c>
      <c r="P438" s="4">
        <f t="shared" si="24"/>
        <v>18</v>
      </c>
      <c r="Q438" s="4" t="str">
        <f t="shared" si="25"/>
        <v>Late Night</v>
      </c>
      <c r="R438" s="4" t="str">
        <f t="shared" si="26"/>
        <v>Low</v>
      </c>
    </row>
    <row r="439" spans="1:18">
      <c r="A439" t="s">
        <v>675</v>
      </c>
      <c r="B439" s="2">
        <v>46101</v>
      </c>
      <c r="C439" s="3">
        <v>0.667361111111111</v>
      </c>
      <c r="D439" t="s">
        <v>277</v>
      </c>
      <c r="E439">
        <v>157.9</v>
      </c>
      <c r="F439" t="s">
        <v>29</v>
      </c>
      <c r="G439" t="s">
        <v>54</v>
      </c>
      <c r="H439" t="s">
        <v>10</v>
      </c>
      <c r="I439" t="s">
        <v>15</v>
      </c>
      <c r="J439" t="s">
        <v>21</v>
      </c>
      <c r="K439">
        <v>27</v>
      </c>
      <c r="L439" t="s">
        <v>49</v>
      </c>
      <c r="M439">
        <v>0</v>
      </c>
      <c r="N439">
        <f t="shared" si="27"/>
        <v>1</v>
      </c>
      <c r="P439" s="4">
        <f t="shared" si="24"/>
        <v>16</v>
      </c>
      <c r="Q439" s="4" t="str">
        <f t="shared" si="25"/>
        <v>Late Night</v>
      </c>
      <c r="R439" s="4" t="str">
        <f t="shared" si="26"/>
        <v>Low</v>
      </c>
    </row>
    <row r="440" spans="1:18">
      <c r="A440" t="s">
        <v>676</v>
      </c>
      <c r="B440" s="2">
        <v>46101</v>
      </c>
      <c r="C440" s="3">
        <v>0.988888888888889</v>
      </c>
      <c r="D440" t="s">
        <v>241</v>
      </c>
      <c r="E440">
        <v>61.24</v>
      </c>
      <c r="F440" t="s">
        <v>28</v>
      </c>
      <c r="G440" t="s">
        <v>71</v>
      </c>
      <c r="H440" t="s">
        <v>3</v>
      </c>
      <c r="I440" t="s">
        <v>15</v>
      </c>
      <c r="J440" t="s">
        <v>22</v>
      </c>
      <c r="K440">
        <v>22</v>
      </c>
      <c r="L440" t="s">
        <v>49</v>
      </c>
      <c r="M440">
        <v>0</v>
      </c>
      <c r="N440">
        <f t="shared" si="27"/>
        <v>1</v>
      </c>
      <c r="P440" s="4">
        <f t="shared" si="24"/>
        <v>23</v>
      </c>
      <c r="Q440" s="4" t="str">
        <f t="shared" si="25"/>
        <v>Late Night</v>
      </c>
      <c r="R440" s="4" t="str">
        <f t="shared" si="26"/>
        <v>Low</v>
      </c>
    </row>
    <row r="441" spans="1:18">
      <c r="A441" t="s">
        <v>677</v>
      </c>
      <c r="B441" s="2">
        <v>46102</v>
      </c>
      <c r="C441" s="3">
        <v>0.766666666666667</v>
      </c>
      <c r="D441" t="s">
        <v>123</v>
      </c>
      <c r="E441">
        <v>138.21</v>
      </c>
      <c r="F441" t="s">
        <v>30</v>
      </c>
      <c r="G441" t="s">
        <v>48</v>
      </c>
      <c r="H441" t="s">
        <v>9</v>
      </c>
      <c r="I441" t="s">
        <v>15</v>
      </c>
      <c r="J441" t="s">
        <v>21</v>
      </c>
      <c r="K441">
        <v>26</v>
      </c>
      <c r="L441" t="s">
        <v>49</v>
      </c>
      <c r="M441">
        <v>0</v>
      </c>
      <c r="N441">
        <f t="shared" si="27"/>
        <v>1</v>
      </c>
      <c r="P441" s="4">
        <f t="shared" si="24"/>
        <v>18</v>
      </c>
      <c r="Q441" s="4" t="str">
        <f t="shared" si="25"/>
        <v>Late Night</v>
      </c>
      <c r="R441" s="4" t="str">
        <f t="shared" si="26"/>
        <v>Low</v>
      </c>
    </row>
    <row r="442" spans="1:18">
      <c r="A442" t="s">
        <v>678</v>
      </c>
      <c r="B442" s="2">
        <v>46102</v>
      </c>
      <c r="C442" s="3">
        <v>0.943055555555556</v>
      </c>
      <c r="D442" t="s">
        <v>170</v>
      </c>
      <c r="E442">
        <v>313.92</v>
      </c>
      <c r="F442" t="s">
        <v>28</v>
      </c>
      <c r="G442" t="s">
        <v>59</v>
      </c>
      <c r="H442" t="s">
        <v>3</v>
      </c>
      <c r="I442" t="s">
        <v>15</v>
      </c>
      <c r="J442" t="s">
        <v>18</v>
      </c>
      <c r="K442">
        <v>19</v>
      </c>
      <c r="L442" t="s">
        <v>49</v>
      </c>
      <c r="M442">
        <v>0</v>
      </c>
      <c r="N442">
        <f t="shared" si="27"/>
        <v>1</v>
      </c>
      <c r="P442" s="4">
        <f t="shared" si="24"/>
        <v>22</v>
      </c>
      <c r="Q442" s="4" t="str">
        <f t="shared" si="25"/>
        <v>Late Night</v>
      </c>
      <c r="R442" s="4" t="str">
        <f t="shared" si="26"/>
        <v>Low</v>
      </c>
    </row>
    <row r="443" spans="1:18">
      <c r="A443" t="s">
        <v>679</v>
      </c>
      <c r="B443" s="2">
        <v>46102</v>
      </c>
      <c r="C443" s="3">
        <v>0.172222222222222</v>
      </c>
      <c r="D443" t="s">
        <v>155</v>
      </c>
      <c r="E443">
        <v>186.58</v>
      </c>
      <c r="F443" t="s">
        <v>32</v>
      </c>
      <c r="G443" t="s">
        <v>59</v>
      </c>
      <c r="H443" t="s">
        <v>9</v>
      </c>
      <c r="I443" t="s">
        <v>15</v>
      </c>
      <c r="J443" t="s">
        <v>20</v>
      </c>
      <c r="K443">
        <v>51</v>
      </c>
      <c r="L443" t="s">
        <v>49</v>
      </c>
      <c r="M443">
        <v>0</v>
      </c>
      <c r="N443">
        <f t="shared" si="27"/>
        <v>1</v>
      </c>
      <c r="P443" s="4">
        <f t="shared" si="24"/>
        <v>4</v>
      </c>
      <c r="Q443" s="4" t="str">
        <f t="shared" si="25"/>
        <v>Late Night</v>
      </c>
      <c r="R443" s="4" t="str">
        <f t="shared" si="26"/>
        <v>Low</v>
      </c>
    </row>
    <row r="444" spans="1:18">
      <c r="A444" t="s">
        <v>680</v>
      </c>
      <c r="B444" s="2">
        <v>46102</v>
      </c>
      <c r="C444" s="3">
        <v>0.870138888888889</v>
      </c>
      <c r="D444" t="s">
        <v>247</v>
      </c>
      <c r="E444">
        <v>219.42</v>
      </c>
      <c r="F444" t="s">
        <v>30</v>
      </c>
      <c r="G444" t="s">
        <v>48</v>
      </c>
      <c r="H444" t="s">
        <v>7</v>
      </c>
      <c r="I444" t="s">
        <v>15</v>
      </c>
      <c r="J444" t="s">
        <v>24</v>
      </c>
      <c r="K444">
        <v>55</v>
      </c>
      <c r="L444" t="s">
        <v>49</v>
      </c>
      <c r="M444">
        <v>0</v>
      </c>
      <c r="N444">
        <f t="shared" si="27"/>
        <v>1</v>
      </c>
      <c r="P444" s="4">
        <f t="shared" si="24"/>
        <v>20</v>
      </c>
      <c r="Q444" s="4" t="str">
        <f t="shared" si="25"/>
        <v>Late Night</v>
      </c>
      <c r="R444" s="4" t="str">
        <f t="shared" si="26"/>
        <v>Low</v>
      </c>
    </row>
    <row r="445" spans="1:18">
      <c r="A445" t="s">
        <v>681</v>
      </c>
      <c r="B445" s="2">
        <v>46102</v>
      </c>
      <c r="C445" s="3">
        <v>0.93125</v>
      </c>
      <c r="D445" t="s">
        <v>601</v>
      </c>
      <c r="E445">
        <v>189.15</v>
      </c>
      <c r="F445" t="s">
        <v>31</v>
      </c>
      <c r="G445" t="s">
        <v>48</v>
      </c>
      <c r="H445" t="s">
        <v>5</v>
      </c>
      <c r="I445" t="s">
        <v>15</v>
      </c>
      <c r="J445" t="s">
        <v>24</v>
      </c>
      <c r="K445">
        <v>48</v>
      </c>
      <c r="L445" t="s">
        <v>49</v>
      </c>
      <c r="M445">
        <v>0</v>
      </c>
      <c r="N445">
        <f t="shared" si="27"/>
        <v>1</v>
      </c>
      <c r="P445" s="4">
        <f t="shared" si="24"/>
        <v>22</v>
      </c>
      <c r="Q445" s="4" t="str">
        <f t="shared" si="25"/>
        <v>Late Night</v>
      </c>
      <c r="R445" s="4" t="str">
        <f t="shared" si="26"/>
        <v>Low</v>
      </c>
    </row>
    <row r="446" spans="1:18">
      <c r="A446" t="s">
        <v>682</v>
      </c>
      <c r="B446" s="2">
        <v>46103</v>
      </c>
      <c r="C446" s="3">
        <v>0.3625</v>
      </c>
      <c r="D446" t="s">
        <v>683</v>
      </c>
      <c r="E446">
        <v>50.56</v>
      </c>
      <c r="F446" t="s">
        <v>32</v>
      </c>
      <c r="G446" t="s">
        <v>59</v>
      </c>
      <c r="H446" t="s">
        <v>7</v>
      </c>
      <c r="I446" t="s">
        <v>15</v>
      </c>
      <c r="J446" t="s">
        <v>22</v>
      </c>
      <c r="K446">
        <v>27</v>
      </c>
      <c r="L446" t="s">
        <v>49</v>
      </c>
      <c r="M446">
        <v>0</v>
      </c>
      <c r="N446">
        <f t="shared" si="27"/>
        <v>1</v>
      </c>
      <c r="P446" s="4">
        <f t="shared" si="24"/>
        <v>8</v>
      </c>
      <c r="Q446" s="4" t="str">
        <f t="shared" si="25"/>
        <v>Late Night</v>
      </c>
      <c r="R446" s="4" t="str">
        <f t="shared" si="26"/>
        <v>Low</v>
      </c>
    </row>
    <row r="447" spans="1:18">
      <c r="A447" t="s">
        <v>684</v>
      </c>
      <c r="B447" s="2">
        <v>46103</v>
      </c>
      <c r="C447" s="3">
        <v>0.489583333333333</v>
      </c>
      <c r="D447" t="s">
        <v>243</v>
      </c>
      <c r="E447">
        <v>468.02</v>
      </c>
      <c r="F447" t="s">
        <v>31</v>
      </c>
      <c r="G447" t="s">
        <v>59</v>
      </c>
      <c r="H447" t="s">
        <v>6</v>
      </c>
      <c r="I447" t="s">
        <v>15</v>
      </c>
      <c r="J447" t="s">
        <v>21</v>
      </c>
      <c r="K447">
        <v>29</v>
      </c>
      <c r="L447" t="s">
        <v>159</v>
      </c>
      <c r="M447">
        <v>0</v>
      </c>
      <c r="N447">
        <f t="shared" si="27"/>
        <v>1</v>
      </c>
      <c r="P447" s="4">
        <f t="shared" si="24"/>
        <v>11</v>
      </c>
      <c r="Q447" s="4" t="str">
        <f t="shared" si="25"/>
        <v>Late Night</v>
      </c>
      <c r="R447" s="4" t="str">
        <f t="shared" si="26"/>
        <v>Low</v>
      </c>
    </row>
    <row r="448" spans="1:18">
      <c r="A448" t="s">
        <v>685</v>
      </c>
      <c r="B448" s="2">
        <v>46103</v>
      </c>
      <c r="C448" s="3">
        <v>0.835416666666667</v>
      </c>
      <c r="D448" t="s">
        <v>188</v>
      </c>
      <c r="E448">
        <v>32.84</v>
      </c>
      <c r="F448" t="s">
        <v>30</v>
      </c>
      <c r="G448" t="s">
        <v>48</v>
      </c>
      <c r="H448" t="s">
        <v>4</v>
      </c>
      <c r="I448" t="s">
        <v>15</v>
      </c>
      <c r="J448" t="s">
        <v>22</v>
      </c>
      <c r="K448">
        <v>53</v>
      </c>
      <c r="L448" t="s">
        <v>49</v>
      </c>
      <c r="M448">
        <v>0</v>
      </c>
      <c r="N448">
        <f t="shared" si="27"/>
        <v>1</v>
      </c>
      <c r="P448" s="4">
        <f t="shared" si="24"/>
        <v>20</v>
      </c>
      <c r="Q448" s="4" t="str">
        <f t="shared" si="25"/>
        <v>Late Night</v>
      </c>
      <c r="R448" s="4" t="str">
        <f t="shared" si="26"/>
        <v>Low</v>
      </c>
    </row>
    <row r="449" spans="1:18">
      <c r="A449" t="s">
        <v>686</v>
      </c>
      <c r="B449" s="2">
        <v>46103</v>
      </c>
      <c r="C449" s="3">
        <v>0.0173611111111111</v>
      </c>
      <c r="D449" t="s">
        <v>486</v>
      </c>
      <c r="E449">
        <v>287.59</v>
      </c>
      <c r="F449" t="s">
        <v>31</v>
      </c>
      <c r="G449" t="s">
        <v>59</v>
      </c>
      <c r="H449" t="s">
        <v>5</v>
      </c>
      <c r="I449" t="s">
        <v>15</v>
      </c>
      <c r="J449" t="s">
        <v>20</v>
      </c>
      <c r="K449">
        <v>38</v>
      </c>
      <c r="L449" t="s">
        <v>85</v>
      </c>
      <c r="M449">
        <v>1</v>
      </c>
      <c r="N449">
        <f t="shared" si="27"/>
        <v>1</v>
      </c>
      <c r="P449" s="4">
        <f t="shared" si="24"/>
        <v>0</v>
      </c>
      <c r="Q449" s="4" t="str">
        <f t="shared" si="25"/>
        <v>Late Night</v>
      </c>
      <c r="R449" s="4" t="str">
        <f t="shared" si="26"/>
        <v>Low</v>
      </c>
    </row>
    <row r="450" spans="1:18">
      <c r="A450" t="s">
        <v>687</v>
      </c>
      <c r="B450" s="2">
        <v>46103</v>
      </c>
      <c r="C450" s="3">
        <v>0.0395833333333333</v>
      </c>
      <c r="D450" t="s">
        <v>688</v>
      </c>
      <c r="E450">
        <v>335.48</v>
      </c>
      <c r="F450" t="s">
        <v>30</v>
      </c>
      <c r="G450" t="s">
        <v>54</v>
      </c>
      <c r="H450" t="s">
        <v>7</v>
      </c>
      <c r="I450" t="s">
        <v>16</v>
      </c>
      <c r="J450" t="s">
        <v>21</v>
      </c>
      <c r="K450">
        <v>64</v>
      </c>
      <c r="L450" t="s">
        <v>85</v>
      </c>
      <c r="M450">
        <v>1</v>
      </c>
      <c r="N450">
        <f t="shared" si="27"/>
        <v>1</v>
      </c>
      <c r="P450" s="4">
        <f t="shared" ref="P450:P513" si="28">HOUR(C450)</f>
        <v>0</v>
      </c>
      <c r="Q450" s="4" t="str">
        <f t="shared" ref="Q450:Q513" si="29">IF(N450&lt;6,"Late Night",IF(N450&lt;12,"Morning",IF(N450&lt;18,"Afternoon","Evening")))</f>
        <v>Late Night</v>
      </c>
      <c r="R450" s="4" t="str">
        <f t="shared" ref="R450:R513" si="30">IF(E450&lt;1000,"Low",IF(E450&lt;5000,"Medium",IF(E450&lt;15000,"High","Very High")))</f>
        <v>Low</v>
      </c>
    </row>
    <row r="451" spans="1:18">
      <c r="A451" t="s">
        <v>689</v>
      </c>
      <c r="B451" s="2">
        <v>46103</v>
      </c>
      <c r="C451" s="3">
        <v>0.602777777777778</v>
      </c>
      <c r="D451" t="s">
        <v>243</v>
      </c>
      <c r="E451">
        <v>145.5</v>
      </c>
      <c r="F451" t="s">
        <v>30</v>
      </c>
      <c r="G451" t="s">
        <v>59</v>
      </c>
      <c r="H451" t="s">
        <v>6</v>
      </c>
      <c r="I451" t="s">
        <v>15</v>
      </c>
      <c r="J451" t="s">
        <v>21</v>
      </c>
      <c r="K451">
        <v>23</v>
      </c>
      <c r="L451" t="s">
        <v>49</v>
      </c>
      <c r="M451">
        <v>0</v>
      </c>
      <c r="N451">
        <f t="shared" ref="N451:N514" si="31">COUNTIF($A$2:$A$1001,A451)</f>
        <v>1</v>
      </c>
      <c r="P451" s="4">
        <f t="shared" si="28"/>
        <v>14</v>
      </c>
      <c r="Q451" s="4" t="str">
        <f t="shared" si="29"/>
        <v>Late Night</v>
      </c>
      <c r="R451" s="4" t="str">
        <f t="shared" si="30"/>
        <v>Low</v>
      </c>
    </row>
    <row r="452" spans="1:18">
      <c r="A452" t="s">
        <v>690</v>
      </c>
      <c r="B452" s="2">
        <v>46104</v>
      </c>
      <c r="C452" s="3">
        <v>0.0722222222222222</v>
      </c>
      <c r="D452" t="s">
        <v>47</v>
      </c>
      <c r="E452">
        <v>258.12</v>
      </c>
      <c r="F452" t="s">
        <v>30</v>
      </c>
      <c r="G452" t="s">
        <v>48</v>
      </c>
      <c r="H452" t="s">
        <v>4</v>
      </c>
      <c r="I452" t="s">
        <v>15</v>
      </c>
      <c r="J452" t="s">
        <v>22</v>
      </c>
      <c r="K452">
        <v>65</v>
      </c>
      <c r="L452" t="s">
        <v>49</v>
      </c>
      <c r="M452">
        <v>0</v>
      </c>
      <c r="N452">
        <f t="shared" si="31"/>
        <v>1</v>
      </c>
      <c r="P452" s="4">
        <f t="shared" si="28"/>
        <v>1</v>
      </c>
      <c r="Q452" s="4" t="str">
        <f t="shared" si="29"/>
        <v>Late Night</v>
      </c>
      <c r="R452" s="4" t="str">
        <f t="shared" si="30"/>
        <v>Low</v>
      </c>
    </row>
    <row r="453" spans="1:18">
      <c r="A453" t="s">
        <v>691</v>
      </c>
      <c r="B453" s="2">
        <v>46104</v>
      </c>
      <c r="C453" s="3">
        <v>0.897916666666667</v>
      </c>
      <c r="D453" t="s">
        <v>123</v>
      </c>
      <c r="E453">
        <v>137.4</v>
      </c>
      <c r="F453" t="s">
        <v>29</v>
      </c>
      <c r="G453" t="s">
        <v>71</v>
      </c>
      <c r="H453" t="s">
        <v>6</v>
      </c>
      <c r="I453" t="s">
        <v>14</v>
      </c>
      <c r="J453" t="s">
        <v>22</v>
      </c>
      <c r="K453">
        <v>20</v>
      </c>
      <c r="L453" t="s">
        <v>49</v>
      </c>
      <c r="M453">
        <v>0</v>
      </c>
      <c r="N453">
        <f t="shared" si="31"/>
        <v>1</v>
      </c>
      <c r="P453" s="4">
        <f t="shared" si="28"/>
        <v>21</v>
      </c>
      <c r="Q453" s="4" t="str">
        <f t="shared" si="29"/>
        <v>Late Night</v>
      </c>
      <c r="R453" s="4" t="str">
        <f t="shared" si="30"/>
        <v>Low</v>
      </c>
    </row>
    <row r="454" spans="1:18">
      <c r="A454" t="s">
        <v>692</v>
      </c>
      <c r="B454" s="2">
        <v>46104</v>
      </c>
      <c r="C454" s="3">
        <v>0.640277777777778</v>
      </c>
      <c r="D454" t="s">
        <v>462</v>
      </c>
      <c r="E454">
        <v>261.25</v>
      </c>
      <c r="F454" t="s">
        <v>31</v>
      </c>
      <c r="G454" t="s">
        <v>48</v>
      </c>
      <c r="H454" t="s">
        <v>3</v>
      </c>
      <c r="I454" t="s">
        <v>16</v>
      </c>
      <c r="J454" t="s">
        <v>18</v>
      </c>
      <c r="K454">
        <v>27</v>
      </c>
      <c r="L454" t="s">
        <v>49</v>
      </c>
      <c r="M454">
        <v>0</v>
      </c>
      <c r="N454">
        <f t="shared" si="31"/>
        <v>1</v>
      </c>
      <c r="P454" s="4">
        <f t="shared" si="28"/>
        <v>15</v>
      </c>
      <c r="Q454" s="4" t="str">
        <f t="shared" si="29"/>
        <v>Late Night</v>
      </c>
      <c r="R454" s="4" t="str">
        <f t="shared" si="30"/>
        <v>Low</v>
      </c>
    </row>
    <row r="455" spans="1:18">
      <c r="A455" t="s">
        <v>693</v>
      </c>
      <c r="B455" s="2">
        <v>46104</v>
      </c>
      <c r="C455" s="3">
        <v>0.316666666666667</v>
      </c>
      <c r="D455" t="s">
        <v>110</v>
      </c>
      <c r="E455">
        <v>489.27</v>
      </c>
      <c r="F455" t="s">
        <v>31</v>
      </c>
      <c r="G455" t="s">
        <v>54</v>
      </c>
      <c r="H455" t="s">
        <v>8</v>
      </c>
      <c r="I455" t="s">
        <v>15</v>
      </c>
      <c r="J455" t="s">
        <v>19</v>
      </c>
      <c r="K455">
        <v>22</v>
      </c>
      <c r="L455" t="s">
        <v>49</v>
      </c>
      <c r="M455">
        <v>0</v>
      </c>
      <c r="N455">
        <f t="shared" si="31"/>
        <v>1</v>
      </c>
      <c r="P455" s="4">
        <f t="shared" si="28"/>
        <v>7</v>
      </c>
      <c r="Q455" s="4" t="str">
        <f t="shared" si="29"/>
        <v>Late Night</v>
      </c>
      <c r="R455" s="4" t="str">
        <f t="shared" si="30"/>
        <v>Low</v>
      </c>
    </row>
    <row r="456" spans="1:18">
      <c r="A456" t="s">
        <v>694</v>
      </c>
      <c r="B456" s="2">
        <v>46104</v>
      </c>
      <c r="C456" s="3">
        <v>0.506944444444444</v>
      </c>
      <c r="D456" t="s">
        <v>642</v>
      </c>
      <c r="E456">
        <v>82.09</v>
      </c>
      <c r="F456" t="s">
        <v>28</v>
      </c>
      <c r="G456" t="s">
        <v>48</v>
      </c>
      <c r="H456" t="s">
        <v>3</v>
      </c>
      <c r="I456" t="s">
        <v>14</v>
      </c>
      <c r="J456" t="s">
        <v>19</v>
      </c>
      <c r="K456">
        <v>63</v>
      </c>
      <c r="L456" t="s">
        <v>49</v>
      </c>
      <c r="M456">
        <v>0</v>
      </c>
      <c r="N456">
        <f t="shared" si="31"/>
        <v>1</v>
      </c>
      <c r="P456" s="4">
        <f t="shared" si="28"/>
        <v>12</v>
      </c>
      <c r="Q456" s="4" t="str">
        <f t="shared" si="29"/>
        <v>Late Night</v>
      </c>
      <c r="R456" s="4" t="str">
        <f t="shared" si="30"/>
        <v>Low</v>
      </c>
    </row>
    <row r="457" spans="1:18">
      <c r="A457" t="s">
        <v>695</v>
      </c>
      <c r="B457" s="2">
        <v>46104</v>
      </c>
      <c r="C457" s="3">
        <v>0.836805555555556</v>
      </c>
      <c r="D457" t="s">
        <v>103</v>
      </c>
      <c r="E457">
        <v>355.66</v>
      </c>
      <c r="F457" t="s">
        <v>31</v>
      </c>
      <c r="G457" t="s">
        <v>48</v>
      </c>
      <c r="H457" t="s">
        <v>9</v>
      </c>
      <c r="I457" t="s">
        <v>15</v>
      </c>
      <c r="J457" t="s">
        <v>20</v>
      </c>
      <c r="K457">
        <v>43</v>
      </c>
      <c r="L457" t="s">
        <v>49</v>
      </c>
      <c r="M457">
        <v>0</v>
      </c>
      <c r="N457">
        <f t="shared" si="31"/>
        <v>1</v>
      </c>
      <c r="P457" s="4">
        <f t="shared" si="28"/>
        <v>20</v>
      </c>
      <c r="Q457" s="4" t="str">
        <f t="shared" si="29"/>
        <v>Late Night</v>
      </c>
      <c r="R457" s="4" t="str">
        <f t="shared" si="30"/>
        <v>Low</v>
      </c>
    </row>
    <row r="458" spans="1:18">
      <c r="A458" t="s">
        <v>696</v>
      </c>
      <c r="B458" s="2">
        <v>46105</v>
      </c>
      <c r="C458" s="3">
        <v>0.0118055555555556</v>
      </c>
      <c r="D458" t="s">
        <v>201</v>
      </c>
      <c r="E458">
        <v>984.76</v>
      </c>
      <c r="F458" t="s">
        <v>29</v>
      </c>
      <c r="G458" t="s">
        <v>54</v>
      </c>
      <c r="H458" t="s">
        <v>5</v>
      </c>
      <c r="I458" t="s">
        <v>15</v>
      </c>
      <c r="J458" t="s">
        <v>19</v>
      </c>
      <c r="K458">
        <v>38</v>
      </c>
      <c r="L458" t="s">
        <v>49</v>
      </c>
      <c r="M458">
        <v>0</v>
      </c>
      <c r="N458">
        <f t="shared" si="31"/>
        <v>1</v>
      </c>
      <c r="P458" s="4">
        <f t="shared" si="28"/>
        <v>0</v>
      </c>
      <c r="Q458" s="4" t="str">
        <f t="shared" si="29"/>
        <v>Late Night</v>
      </c>
      <c r="R458" s="4" t="str">
        <f t="shared" si="30"/>
        <v>Low</v>
      </c>
    </row>
    <row r="459" spans="1:18">
      <c r="A459" t="s">
        <v>697</v>
      </c>
      <c r="B459" s="2">
        <v>46105</v>
      </c>
      <c r="C459" s="3">
        <v>0.638888888888889</v>
      </c>
      <c r="D459" t="s">
        <v>112</v>
      </c>
      <c r="E459">
        <v>236.17</v>
      </c>
      <c r="F459" t="s">
        <v>31</v>
      </c>
      <c r="G459" t="s">
        <v>48</v>
      </c>
      <c r="H459" t="s">
        <v>3</v>
      </c>
      <c r="I459" t="s">
        <v>15</v>
      </c>
      <c r="J459" t="s">
        <v>18</v>
      </c>
      <c r="K459">
        <v>62</v>
      </c>
      <c r="L459" t="s">
        <v>49</v>
      </c>
      <c r="M459">
        <v>0</v>
      </c>
      <c r="N459">
        <f t="shared" si="31"/>
        <v>1</v>
      </c>
      <c r="P459" s="4">
        <f t="shared" si="28"/>
        <v>15</v>
      </c>
      <c r="Q459" s="4" t="str">
        <f t="shared" si="29"/>
        <v>Late Night</v>
      </c>
      <c r="R459" s="4" t="str">
        <f t="shared" si="30"/>
        <v>Low</v>
      </c>
    </row>
    <row r="460" spans="1:18">
      <c r="A460" t="s">
        <v>698</v>
      </c>
      <c r="B460" s="2">
        <v>46105</v>
      </c>
      <c r="C460" s="3">
        <v>0.278472222222222</v>
      </c>
      <c r="D460" t="s">
        <v>303</v>
      </c>
      <c r="E460">
        <v>109.61</v>
      </c>
      <c r="F460" t="s">
        <v>32</v>
      </c>
      <c r="G460" t="s">
        <v>66</v>
      </c>
      <c r="H460" t="s">
        <v>10</v>
      </c>
      <c r="I460" t="s">
        <v>15</v>
      </c>
      <c r="J460" t="s">
        <v>24</v>
      </c>
      <c r="K460">
        <v>43</v>
      </c>
      <c r="L460" t="s">
        <v>49</v>
      </c>
      <c r="M460">
        <v>0</v>
      </c>
      <c r="N460">
        <f t="shared" si="31"/>
        <v>1</v>
      </c>
      <c r="P460" s="4">
        <f t="shared" si="28"/>
        <v>6</v>
      </c>
      <c r="Q460" s="4" t="str">
        <f t="shared" si="29"/>
        <v>Late Night</v>
      </c>
      <c r="R460" s="4" t="str">
        <f t="shared" si="30"/>
        <v>Low</v>
      </c>
    </row>
    <row r="461" spans="1:18">
      <c r="A461" t="s">
        <v>699</v>
      </c>
      <c r="B461" s="2">
        <v>46105</v>
      </c>
      <c r="C461" s="3">
        <v>0.190972222222222</v>
      </c>
      <c r="D461" t="s">
        <v>105</v>
      </c>
      <c r="E461">
        <v>1742.77</v>
      </c>
      <c r="F461" t="s">
        <v>29</v>
      </c>
      <c r="G461" t="s">
        <v>48</v>
      </c>
      <c r="H461" t="s">
        <v>6</v>
      </c>
      <c r="I461" t="s">
        <v>15</v>
      </c>
      <c r="J461" t="s">
        <v>21</v>
      </c>
      <c r="K461">
        <v>55</v>
      </c>
      <c r="L461" t="s">
        <v>49</v>
      </c>
      <c r="M461">
        <v>0</v>
      </c>
      <c r="N461">
        <f t="shared" si="31"/>
        <v>1</v>
      </c>
      <c r="P461" s="4">
        <f t="shared" si="28"/>
        <v>4</v>
      </c>
      <c r="Q461" s="4" t="str">
        <f t="shared" si="29"/>
        <v>Late Night</v>
      </c>
      <c r="R461" s="4" t="str">
        <f t="shared" si="30"/>
        <v>Medium</v>
      </c>
    </row>
    <row r="462" spans="1:18">
      <c r="A462" t="s">
        <v>700</v>
      </c>
      <c r="B462" s="2">
        <v>46105</v>
      </c>
      <c r="C462" s="3">
        <v>0.902777777777778</v>
      </c>
      <c r="D462" t="s">
        <v>594</v>
      </c>
      <c r="E462">
        <v>198.09</v>
      </c>
      <c r="F462" t="s">
        <v>30</v>
      </c>
      <c r="G462" t="s">
        <v>54</v>
      </c>
      <c r="H462" t="s">
        <v>5</v>
      </c>
      <c r="I462" t="s">
        <v>15</v>
      </c>
      <c r="J462" t="s">
        <v>22</v>
      </c>
      <c r="K462">
        <v>61</v>
      </c>
      <c r="L462" t="s">
        <v>49</v>
      </c>
      <c r="M462">
        <v>0</v>
      </c>
      <c r="N462">
        <f t="shared" si="31"/>
        <v>1</v>
      </c>
      <c r="P462" s="4">
        <f t="shared" si="28"/>
        <v>21</v>
      </c>
      <c r="Q462" s="4" t="str">
        <f t="shared" si="29"/>
        <v>Late Night</v>
      </c>
      <c r="R462" s="4" t="str">
        <f t="shared" si="30"/>
        <v>Low</v>
      </c>
    </row>
    <row r="463" spans="1:18">
      <c r="A463" t="s">
        <v>701</v>
      </c>
      <c r="B463" s="2">
        <v>46106</v>
      </c>
      <c r="C463" s="3">
        <v>0.942361111111111</v>
      </c>
      <c r="D463" t="s">
        <v>239</v>
      </c>
      <c r="E463">
        <v>228.5</v>
      </c>
      <c r="F463" t="s">
        <v>31</v>
      </c>
      <c r="G463" t="s">
        <v>48</v>
      </c>
      <c r="H463" t="s">
        <v>8</v>
      </c>
      <c r="I463" t="s">
        <v>15</v>
      </c>
      <c r="J463" t="s">
        <v>21</v>
      </c>
      <c r="K463">
        <v>43</v>
      </c>
      <c r="L463" t="s">
        <v>49</v>
      </c>
      <c r="M463">
        <v>0</v>
      </c>
      <c r="N463">
        <f t="shared" si="31"/>
        <v>1</v>
      </c>
      <c r="P463" s="4">
        <f t="shared" si="28"/>
        <v>22</v>
      </c>
      <c r="Q463" s="4" t="str">
        <f t="shared" si="29"/>
        <v>Late Night</v>
      </c>
      <c r="R463" s="4" t="str">
        <f t="shared" si="30"/>
        <v>Low</v>
      </c>
    </row>
    <row r="464" spans="1:18">
      <c r="A464" t="s">
        <v>702</v>
      </c>
      <c r="B464" s="2">
        <v>46106</v>
      </c>
      <c r="C464" s="3">
        <v>0.10625</v>
      </c>
      <c r="D464" t="s">
        <v>123</v>
      </c>
      <c r="E464">
        <v>233.31</v>
      </c>
      <c r="F464" t="s">
        <v>30</v>
      </c>
      <c r="G464" t="s">
        <v>48</v>
      </c>
      <c r="H464" t="s">
        <v>10</v>
      </c>
      <c r="I464" t="s">
        <v>15</v>
      </c>
      <c r="J464" t="s">
        <v>21</v>
      </c>
      <c r="K464">
        <v>25</v>
      </c>
      <c r="L464" t="s">
        <v>49</v>
      </c>
      <c r="M464">
        <v>0</v>
      </c>
      <c r="N464">
        <f t="shared" si="31"/>
        <v>1</v>
      </c>
      <c r="P464" s="4">
        <f t="shared" si="28"/>
        <v>2</v>
      </c>
      <c r="Q464" s="4" t="str">
        <f t="shared" si="29"/>
        <v>Late Night</v>
      </c>
      <c r="R464" s="4" t="str">
        <f t="shared" si="30"/>
        <v>Low</v>
      </c>
    </row>
    <row r="465" spans="1:18">
      <c r="A465" t="s">
        <v>703</v>
      </c>
      <c r="B465" s="2">
        <v>46106</v>
      </c>
      <c r="C465" s="3">
        <v>0.469444444444444</v>
      </c>
      <c r="D465" t="s">
        <v>424</v>
      </c>
      <c r="E465">
        <v>283.68</v>
      </c>
      <c r="F465" t="s">
        <v>32</v>
      </c>
      <c r="G465" t="s">
        <v>48</v>
      </c>
      <c r="H465" t="s">
        <v>3</v>
      </c>
      <c r="I465" t="s">
        <v>15</v>
      </c>
      <c r="J465" t="s">
        <v>23</v>
      </c>
      <c r="K465">
        <v>22</v>
      </c>
      <c r="L465" t="s">
        <v>168</v>
      </c>
      <c r="M465">
        <v>1</v>
      </c>
      <c r="N465">
        <f t="shared" si="31"/>
        <v>1</v>
      </c>
      <c r="P465" s="4">
        <f t="shared" si="28"/>
        <v>11</v>
      </c>
      <c r="Q465" s="4" t="str">
        <f t="shared" si="29"/>
        <v>Late Night</v>
      </c>
      <c r="R465" s="4" t="str">
        <f t="shared" si="30"/>
        <v>Low</v>
      </c>
    </row>
    <row r="466" spans="1:18">
      <c r="A466" t="s">
        <v>704</v>
      </c>
      <c r="B466" s="2">
        <v>46106</v>
      </c>
      <c r="C466" s="3">
        <v>0.65</v>
      </c>
      <c r="D466" t="s">
        <v>282</v>
      </c>
      <c r="E466">
        <v>129.17</v>
      </c>
      <c r="F466" t="s">
        <v>28</v>
      </c>
      <c r="G466" t="s">
        <v>54</v>
      </c>
      <c r="H466" t="s">
        <v>9</v>
      </c>
      <c r="I466" t="s">
        <v>15</v>
      </c>
      <c r="J466" t="s">
        <v>24</v>
      </c>
      <c r="K466">
        <v>32</v>
      </c>
      <c r="L466" t="s">
        <v>49</v>
      </c>
      <c r="M466">
        <v>0</v>
      </c>
      <c r="N466">
        <f t="shared" si="31"/>
        <v>1</v>
      </c>
      <c r="P466" s="4">
        <f t="shared" si="28"/>
        <v>15</v>
      </c>
      <c r="Q466" s="4" t="str">
        <f t="shared" si="29"/>
        <v>Late Night</v>
      </c>
      <c r="R466" s="4" t="str">
        <f t="shared" si="30"/>
        <v>Low</v>
      </c>
    </row>
    <row r="467" spans="1:18">
      <c r="A467" t="s">
        <v>705</v>
      </c>
      <c r="B467" s="2">
        <v>46106</v>
      </c>
      <c r="C467" s="3">
        <v>0.766666666666667</v>
      </c>
      <c r="D467" t="s">
        <v>406</v>
      </c>
      <c r="E467">
        <v>219.2</v>
      </c>
      <c r="F467" t="s">
        <v>29</v>
      </c>
      <c r="G467" t="s">
        <v>54</v>
      </c>
      <c r="H467" t="s">
        <v>7</v>
      </c>
      <c r="I467" t="s">
        <v>15</v>
      </c>
      <c r="J467" t="s">
        <v>23</v>
      </c>
      <c r="K467">
        <v>33</v>
      </c>
      <c r="L467" t="s">
        <v>49</v>
      </c>
      <c r="M467">
        <v>0</v>
      </c>
      <c r="N467">
        <f t="shared" si="31"/>
        <v>1</v>
      </c>
      <c r="P467" s="4">
        <f t="shared" si="28"/>
        <v>18</v>
      </c>
      <c r="Q467" s="4" t="str">
        <f t="shared" si="29"/>
        <v>Late Night</v>
      </c>
      <c r="R467" s="4" t="str">
        <f t="shared" si="30"/>
        <v>Low</v>
      </c>
    </row>
    <row r="468" spans="1:18">
      <c r="A468" t="s">
        <v>706</v>
      </c>
      <c r="B468" s="2">
        <v>46106</v>
      </c>
      <c r="C468" s="3">
        <v>0.192361111111111</v>
      </c>
      <c r="D468" t="s">
        <v>70</v>
      </c>
      <c r="E468">
        <v>469.74</v>
      </c>
      <c r="F468" t="s">
        <v>29</v>
      </c>
      <c r="G468" t="s">
        <v>54</v>
      </c>
      <c r="H468" t="s">
        <v>9</v>
      </c>
      <c r="I468" t="s">
        <v>15</v>
      </c>
      <c r="J468" t="s">
        <v>19</v>
      </c>
      <c r="K468">
        <v>18</v>
      </c>
      <c r="L468" t="s">
        <v>49</v>
      </c>
      <c r="M468">
        <v>0</v>
      </c>
      <c r="N468">
        <f t="shared" si="31"/>
        <v>1</v>
      </c>
      <c r="P468" s="4">
        <f t="shared" si="28"/>
        <v>4</v>
      </c>
      <c r="Q468" s="4" t="str">
        <f t="shared" si="29"/>
        <v>Late Night</v>
      </c>
      <c r="R468" s="4" t="str">
        <f t="shared" si="30"/>
        <v>Low</v>
      </c>
    </row>
    <row r="469" spans="1:18">
      <c r="A469" t="s">
        <v>707</v>
      </c>
      <c r="B469" s="2">
        <v>46107</v>
      </c>
      <c r="C469" s="3">
        <v>0.914583333333333</v>
      </c>
      <c r="D469" t="s">
        <v>385</v>
      </c>
      <c r="E469">
        <v>124.79</v>
      </c>
      <c r="F469" t="s">
        <v>31</v>
      </c>
      <c r="G469" t="s">
        <v>59</v>
      </c>
      <c r="H469" t="s">
        <v>10</v>
      </c>
      <c r="I469" t="s">
        <v>14</v>
      </c>
      <c r="J469" t="s">
        <v>21</v>
      </c>
      <c r="K469">
        <v>33</v>
      </c>
      <c r="L469" t="s">
        <v>49</v>
      </c>
      <c r="M469">
        <v>0</v>
      </c>
      <c r="N469">
        <f t="shared" si="31"/>
        <v>1</v>
      </c>
      <c r="P469" s="4">
        <f t="shared" si="28"/>
        <v>21</v>
      </c>
      <c r="Q469" s="4" t="str">
        <f t="shared" si="29"/>
        <v>Late Night</v>
      </c>
      <c r="R469" s="4" t="str">
        <f t="shared" si="30"/>
        <v>Low</v>
      </c>
    </row>
    <row r="470" spans="1:18">
      <c r="A470" t="s">
        <v>708</v>
      </c>
      <c r="B470" s="2">
        <v>46107</v>
      </c>
      <c r="C470" s="3">
        <v>0.549305555555556</v>
      </c>
      <c r="D470" t="s">
        <v>203</v>
      </c>
      <c r="E470">
        <v>119.11</v>
      </c>
      <c r="F470" t="s">
        <v>28</v>
      </c>
      <c r="G470" t="s">
        <v>59</v>
      </c>
      <c r="H470" t="s">
        <v>4</v>
      </c>
      <c r="I470" t="s">
        <v>14</v>
      </c>
      <c r="J470" t="s">
        <v>22</v>
      </c>
      <c r="K470">
        <v>54</v>
      </c>
      <c r="L470" t="s">
        <v>49</v>
      </c>
      <c r="M470">
        <v>0</v>
      </c>
      <c r="N470">
        <f t="shared" si="31"/>
        <v>1</v>
      </c>
      <c r="P470" s="4">
        <f t="shared" si="28"/>
        <v>13</v>
      </c>
      <c r="Q470" s="4" t="str">
        <f t="shared" si="29"/>
        <v>Late Night</v>
      </c>
      <c r="R470" s="4" t="str">
        <f t="shared" si="30"/>
        <v>Low</v>
      </c>
    </row>
    <row r="471" spans="1:18">
      <c r="A471" t="s">
        <v>709</v>
      </c>
      <c r="B471" s="2">
        <v>46107</v>
      </c>
      <c r="C471" s="3">
        <v>0.181944444444444</v>
      </c>
      <c r="D471" t="s">
        <v>636</v>
      </c>
      <c r="E471">
        <v>135.36</v>
      </c>
      <c r="F471" t="s">
        <v>31</v>
      </c>
      <c r="G471" t="s">
        <v>48</v>
      </c>
      <c r="H471" t="s">
        <v>3</v>
      </c>
      <c r="I471" t="s">
        <v>15</v>
      </c>
      <c r="J471" t="s">
        <v>21</v>
      </c>
      <c r="K471">
        <v>20</v>
      </c>
      <c r="L471" t="s">
        <v>49</v>
      </c>
      <c r="M471">
        <v>0</v>
      </c>
      <c r="N471">
        <f t="shared" si="31"/>
        <v>1</v>
      </c>
      <c r="P471" s="4">
        <f t="shared" si="28"/>
        <v>4</v>
      </c>
      <c r="Q471" s="4" t="str">
        <f t="shared" si="29"/>
        <v>Late Night</v>
      </c>
      <c r="R471" s="4" t="str">
        <f t="shared" si="30"/>
        <v>Low</v>
      </c>
    </row>
    <row r="472" spans="1:18">
      <c r="A472" t="s">
        <v>710</v>
      </c>
      <c r="B472" s="2">
        <v>46107</v>
      </c>
      <c r="C472" s="3">
        <v>0.619444444444444</v>
      </c>
      <c r="D472" t="s">
        <v>427</v>
      </c>
      <c r="E472">
        <v>60.47</v>
      </c>
      <c r="F472" t="s">
        <v>31</v>
      </c>
      <c r="G472" t="s">
        <v>54</v>
      </c>
      <c r="H472" t="s">
        <v>10</v>
      </c>
      <c r="I472" t="s">
        <v>14</v>
      </c>
      <c r="J472" t="s">
        <v>24</v>
      </c>
      <c r="K472">
        <v>64</v>
      </c>
      <c r="L472" t="s">
        <v>49</v>
      </c>
      <c r="M472">
        <v>0</v>
      </c>
      <c r="N472">
        <f t="shared" si="31"/>
        <v>1</v>
      </c>
      <c r="P472" s="4">
        <f t="shared" si="28"/>
        <v>14</v>
      </c>
      <c r="Q472" s="4" t="str">
        <f t="shared" si="29"/>
        <v>Late Night</v>
      </c>
      <c r="R472" s="4" t="str">
        <f t="shared" si="30"/>
        <v>Low</v>
      </c>
    </row>
    <row r="473" spans="1:18">
      <c r="A473" t="s">
        <v>711</v>
      </c>
      <c r="B473" s="2">
        <v>46107</v>
      </c>
      <c r="C473" s="3">
        <v>0.695138888888889</v>
      </c>
      <c r="D473" t="s">
        <v>118</v>
      </c>
      <c r="E473">
        <v>91.58</v>
      </c>
      <c r="F473" t="s">
        <v>31</v>
      </c>
      <c r="G473" t="s">
        <v>71</v>
      </c>
      <c r="H473" t="s">
        <v>4</v>
      </c>
      <c r="I473" t="s">
        <v>15</v>
      </c>
      <c r="J473" t="s">
        <v>23</v>
      </c>
      <c r="K473">
        <v>48</v>
      </c>
      <c r="L473" t="s">
        <v>49</v>
      </c>
      <c r="M473">
        <v>0</v>
      </c>
      <c r="N473">
        <f t="shared" si="31"/>
        <v>1</v>
      </c>
      <c r="P473" s="4">
        <f t="shared" si="28"/>
        <v>16</v>
      </c>
      <c r="Q473" s="4" t="str">
        <f t="shared" si="29"/>
        <v>Late Night</v>
      </c>
      <c r="R473" s="4" t="str">
        <f t="shared" si="30"/>
        <v>Low</v>
      </c>
    </row>
    <row r="474" spans="1:18">
      <c r="A474" t="s">
        <v>712</v>
      </c>
      <c r="B474" s="2">
        <v>46108</v>
      </c>
      <c r="C474" s="3">
        <v>0.55625</v>
      </c>
      <c r="D474" t="s">
        <v>713</v>
      </c>
      <c r="E474">
        <v>87.92</v>
      </c>
      <c r="F474" t="s">
        <v>31</v>
      </c>
      <c r="G474" t="s">
        <v>54</v>
      </c>
      <c r="H474" t="s">
        <v>4</v>
      </c>
      <c r="I474" t="s">
        <v>15</v>
      </c>
      <c r="J474" t="s">
        <v>22</v>
      </c>
      <c r="K474">
        <v>30</v>
      </c>
      <c r="L474" t="s">
        <v>49</v>
      </c>
      <c r="M474">
        <v>0</v>
      </c>
      <c r="N474">
        <f t="shared" si="31"/>
        <v>1</v>
      </c>
      <c r="P474" s="4">
        <f t="shared" si="28"/>
        <v>13</v>
      </c>
      <c r="Q474" s="4" t="str">
        <f t="shared" si="29"/>
        <v>Late Night</v>
      </c>
      <c r="R474" s="4" t="str">
        <f t="shared" si="30"/>
        <v>Low</v>
      </c>
    </row>
    <row r="475" spans="1:18">
      <c r="A475" t="s">
        <v>714</v>
      </c>
      <c r="B475" s="2">
        <v>46108</v>
      </c>
      <c r="C475" s="3">
        <v>0.805555555555556</v>
      </c>
      <c r="D475" t="s">
        <v>340</v>
      </c>
      <c r="E475">
        <v>181.18</v>
      </c>
      <c r="F475" t="s">
        <v>31</v>
      </c>
      <c r="G475" t="s">
        <v>59</v>
      </c>
      <c r="H475" t="s">
        <v>6</v>
      </c>
      <c r="I475" t="s">
        <v>15</v>
      </c>
      <c r="J475" t="s">
        <v>21</v>
      </c>
      <c r="K475">
        <v>33</v>
      </c>
      <c r="L475" t="s">
        <v>49</v>
      </c>
      <c r="M475">
        <v>0</v>
      </c>
      <c r="N475">
        <f t="shared" si="31"/>
        <v>1</v>
      </c>
      <c r="P475" s="4">
        <f t="shared" si="28"/>
        <v>19</v>
      </c>
      <c r="Q475" s="4" t="str">
        <f t="shared" si="29"/>
        <v>Late Night</v>
      </c>
      <c r="R475" s="4" t="str">
        <f t="shared" si="30"/>
        <v>Low</v>
      </c>
    </row>
    <row r="476" spans="1:18">
      <c r="A476" t="s">
        <v>715</v>
      </c>
      <c r="B476" s="2">
        <v>46108</v>
      </c>
      <c r="C476" s="3">
        <v>0.184722222222222</v>
      </c>
      <c r="D476" t="s">
        <v>427</v>
      </c>
      <c r="E476">
        <v>418.28</v>
      </c>
      <c r="F476" t="s">
        <v>31</v>
      </c>
      <c r="G476" t="s">
        <v>48</v>
      </c>
      <c r="H476" t="s">
        <v>5</v>
      </c>
      <c r="I476" t="s">
        <v>15</v>
      </c>
      <c r="J476" t="s">
        <v>20</v>
      </c>
      <c r="K476">
        <v>60</v>
      </c>
      <c r="L476" t="s">
        <v>85</v>
      </c>
      <c r="M476">
        <v>1</v>
      </c>
      <c r="N476">
        <f t="shared" si="31"/>
        <v>1</v>
      </c>
      <c r="P476" s="4">
        <f t="shared" si="28"/>
        <v>4</v>
      </c>
      <c r="Q476" s="4" t="str">
        <f t="shared" si="29"/>
        <v>Late Night</v>
      </c>
      <c r="R476" s="4" t="str">
        <f t="shared" si="30"/>
        <v>Low</v>
      </c>
    </row>
    <row r="477" spans="1:18">
      <c r="A477" t="s">
        <v>716</v>
      </c>
      <c r="B477" s="2">
        <v>46108</v>
      </c>
      <c r="C477" s="3">
        <v>0.497222222222222</v>
      </c>
      <c r="D477" t="s">
        <v>158</v>
      </c>
      <c r="E477">
        <v>775.66</v>
      </c>
      <c r="F477" t="s">
        <v>32</v>
      </c>
      <c r="G477" t="s">
        <v>66</v>
      </c>
      <c r="H477" t="s">
        <v>6</v>
      </c>
      <c r="I477" t="s">
        <v>15</v>
      </c>
      <c r="J477" t="s">
        <v>24</v>
      </c>
      <c r="K477">
        <v>38</v>
      </c>
      <c r="L477" t="s">
        <v>49</v>
      </c>
      <c r="M477">
        <v>0</v>
      </c>
      <c r="N477">
        <f t="shared" si="31"/>
        <v>1</v>
      </c>
      <c r="P477" s="4">
        <f t="shared" si="28"/>
        <v>11</v>
      </c>
      <c r="Q477" s="4" t="str">
        <f t="shared" si="29"/>
        <v>Late Night</v>
      </c>
      <c r="R477" s="4" t="str">
        <f t="shared" si="30"/>
        <v>Low</v>
      </c>
    </row>
    <row r="478" spans="1:18">
      <c r="A478" t="s">
        <v>717</v>
      </c>
      <c r="B478" s="2">
        <v>46108</v>
      </c>
      <c r="C478" s="3">
        <v>0.645833333333333</v>
      </c>
      <c r="D478" t="s">
        <v>255</v>
      </c>
      <c r="E478">
        <v>191.94</v>
      </c>
      <c r="F478" t="s">
        <v>28</v>
      </c>
      <c r="G478" t="s">
        <v>66</v>
      </c>
      <c r="H478" t="s">
        <v>3</v>
      </c>
      <c r="I478" t="s">
        <v>15</v>
      </c>
      <c r="J478" t="s">
        <v>24</v>
      </c>
      <c r="K478">
        <v>19</v>
      </c>
      <c r="L478" t="s">
        <v>49</v>
      </c>
      <c r="M478">
        <v>0</v>
      </c>
      <c r="N478">
        <f t="shared" si="31"/>
        <v>1</v>
      </c>
      <c r="P478" s="4">
        <f t="shared" si="28"/>
        <v>15</v>
      </c>
      <c r="Q478" s="4" t="str">
        <f t="shared" si="29"/>
        <v>Late Night</v>
      </c>
      <c r="R478" s="4" t="str">
        <f t="shared" si="30"/>
        <v>Low</v>
      </c>
    </row>
    <row r="479" spans="1:18">
      <c r="A479" t="s">
        <v>718</v>
      </c>
      <c r="B479" s="2">
        <v>46108</v>
      </c>
      <c r="C479" s="3">
        <v>0.628472222222222</v>
      </c>
      <c r="D479" t="s">
        <v>358</v>
      </c>
      <c r="E479">
        <v>286.14</v>
      </c>
      <c r="F479" t="s">
        <v>32</v>
      </c>
      <c r="G479" t="s">
        <v>59</v>
      </c>
      <c r="H479" t="s">
        <v>4</v>
      </c>
      <c r="I479" t="s">
        <v>14</v>
      </c>
      <c r="J479" t="s">
        <v>20</v>
      </c>
      <c r="K479">
        <v>44</v>
      </c>
      <c r="L479" t="s">
        <v>49</v>
      </c>
      <c r="M479">
        <v>1</v>
      </c>
      <c r="N479">
        <f t="shared" si="31"/>
        <v>1</v>
      </c>
      <c r="P479" s="4">
        <f t="shared" si="28"/>
        <v>15</v>
      </c>
      <c r="Q479" s="4" t="str">
        <f t="shared" si="29"/>
        <v>Late Night</v>
      </c>
      <c r="R479" s="4" t="str">
        <f t="shared" si="30"/>
        <v>Low</v>
      </c>
    </row>
    <row r="480" spans="1:18">
      <c r="A480" t="s">
        <v>719</v>
      </c>
      <c r="B480" s="2">
        <v>46109</v>
      </c>
      <c r="C480" s="3">
        <v>0.851388888888889</v>
      </c>
      <c r="D480" t="s">
        <v>713</v>
      </c>
      <c r="E480">
        <v>231.23</v>
      </c>
      <c r="F480" t="s">
        <v>28</v>
      </c>
      <c r="G480" t="s">
        <v>71</v>
      </c>
      <c r="H480" t="s">
        <v>8</v>
      </c>
      <c r="I480" t="s">
        <v>15</v>
      </c>
      <c r="J480" t="s">
        <v>21</v>
      </c>
      <c r="K480">
        <v>55</v>
      </c>
      <c r="L480" t="s">
        <v>49</v>
      </c>
      <c r="M480">
        <v>0</v>
      </c>
      <c r="N480">
        <f t="shared" si="31"/>
        <v>1</v>
      </c>
      <c r="P480" s="4">
        <f t="shared" si="28"/>
        <v>20</v>
      </c>
      <c r="Q480" s="4" t="str">
        <f t="shared" si="29"/>
        <v>Late Night</v>
      </c>
      <c r="R480" s="4" t="str">
        <f t="shared" si="30"/>
        <v>Low</v>
      </c>
    </row>
    <row r="481" spans="1:18">
      <c r="A481" t="s">
        <v>720</v>
      </c>
      <c r="B481" s="2">
        <v>46109</v>
      </c>
      <c r="C481" s="3">
        <v>0.277083333333333</v>
      </c>
      <c r="D481" t="s">
        <v>112</v>
      </c>
      <c r="E481">
        <v>22.34</v>
      </c>
      <c r="F481" t="s">
        <v>31</v>
      </c>
      <c r="G481" t="s">
        <v>48</v>
      </c>
      <c r="H481" t="s">
        <v>10</v>
      </c>
      <c r="I481" t="s">
        <v>15</v>
      </c>
      <c r="J481" t="s">
        <v>24</v>
      </c>
      <c r="K481">
        <v>43</v>
      </c>
      <c r="L481" t="s">
        <v>49</v>
      </c>
      <c r="M481">
        <v>0</v>
      </c>
      <c r="N481">
        <f t="shared" si="31"/>
        <v>1</v>
      </c>
      <c r="P481" s="4">
        <f t="shared" si="28"/>
        <v>6</v>
      </c>
      <c r="Q481" s="4" t="str">
        <f t="shared" si="29"/>
        <v>Late Night</v>
      </c>
      <c r="R481" s="4" t="str">
        <f t="shared" si="30"/>
        <v>Low</v>
      </c>
    </row>
    <row r="482" spans="1:18">
      <c r="A482" t="s">
        <v>721</v>
      </c>
      <c r="B482" s="2">
        <v>46109</v>
      </c>
      <c r="C482" s="3">
        <v>0.147916666666667</v>
      </c>
      <c r="D482" t="s">
        <v>636</v>
      </c>
      <c r="E482">
        <v>57.52</v>
      </c>
      <c r="F482" t="s">
        <v>28</v>
      </c>
      <c r="G482" t="s">
        <v>48</v>
      </c>
      <c r="H482" t="s">
        <v>7</v>
      </c>
      <c r="I482" t="s">
        <v>16</v>
      </c>
      <c r="J482" t="s">
        <v>22</v>
      </c>
      <c r="K482">
        <v>55</v>
      </c>
      <c r="L482" t="s">
        <v>49</v>
      </c>
      <c r="M482">
        <v>0</v>
      </c>
      <c r="N482">
        <f t="shared" si="31"/>
        <v>1</v>
      </c>
      <c r="P482" s="4">
        <f t="shared" si="28"/>
        <v>3</v>
      </c>
      <c r="Q482" s="4" t="str">
        <f t="shared" si="29"/>
        <v>Late Night</v>
      </c>
      <c r="R482" s="4" t="str">
        <f t="shared" si="30"/>
        <v>Low</v>
      </c>
    </row>
    <row r="483" spans="1:18">
      <c r="A483" t="s">
        <v>722</v>
      </c>
      <c r="B483" s="2">
        <v>46109</v>
      </c>
      <c r="C483" s="3">
        <v>0.00763888888888889</v>
      </c>
      <c r="D483" t="s">
        <v>103</v>
      </c>
      <c r="E483">
        <v>388.1</v>
      </c>
      <c r="F483" t="s">
        <v>28</v>
      </c>
      <c r="G483" t="s">
        <v>66</v>
      </c>
      <c r="H483" t="s">
        <v>4</v>
      </c>
      <c r="I483" t="s">
        <v>15</v>
      </c>
      <c r="J483" t="s">
        <v>21</v>
      </c>
      <c r="K483">
        <v>63</v>
      </c>
      <c r="L483" t="s">
        <v>49</v>
      </c>
      <c r="M483">
        <v>0</v>
      </c>
      <c r="N483">
        <f t="shared" si="31"/>
        <v>1</v>
      </c>
      <c r="P483" s="4">
        <f t="shared" si="28"/>
        <v>0</v>
      </c>
      <c r="Q483" s="4" t="str">
        <f t="shared" si="29"/>
        <v>Late Night</v>
      </c>
      <c r="R483" s="4" t="str">
        <f t="shared" si="30"/>
        <v>Low</v>
      </c>
    </row>
    <row r="484" spans="1:18">
      <c r="A484" t="s">
        <v>723</v>
      </c>
      <c r="B484" s="2">
        <v>46109</v>
      </c>
      <c r="C484" s="3">
        <v>0.197222222222222</v>
      </c>
      <c r="D484" t="s">
        <v>584</v>
      </c>
      <c r="E484">
        <v>427.73</v>
      </c>
      <c r="F484" t="s">
        <v>31</v>
      </c>
      <c r="G484" t="s">
        <v>66</v>
      </c>
      <c r="H484" t="s">
        <v>10</v>
      </c>
      <c r="I484" t="s">
        <v>15</v>
      </c>
      <c r="J484" t="s">
        <v>21</v>
      </c>
      <c r="K484">
        <v>42</v>
      </c>
      <c r="L484" t="s">
        <v>159</v>
      </c>
      <c r="M484">
        <v>0</v>
      </c>
      <c r="N484">
        <f t="shared" si="31"/>
        <v>1</v>
      </c>
      <c r="P484" s="4">
        <f t="shared" si="28"/>
        <v>4</v>
      </c>
      <c r="Q484" s="4" t="str">
        <f t="shared" si="29"/>
        <v>Late Night</v>
      </c>
      <c r="R484" s="4" t="str">
        <f t="shared" si="30"/>
        <v>Low</v>
      </c>
    </row>
    <row r="485" spans="1:18">
      <c r="A485" t="s">
        <v>724</v>
      </c>
      <c r="B485" s="2">
        <v>46110</v>
      </c>
      <c r="C485" s="3">
        <v>0.955555555555556</v>
      </c>
      <c r="D485" t="s">
        <v>127</v>
      </c>
      <c r="E485">
        <v>418.05</v>
      </c>
      <c r="F485" t="s">
        <v>29</v>
      </c>
      <c r="G485" t="s">
        <v>48</v>
      </c>
      <c r="H485" t="s">
        <v>8</v>
      </c>
      <c r="I485" t="s">
        <v>15</v>
      </c>
      <c r="J485" t="s">
        <v>23</v>
      </c>
      <c r="K485">
        <v>28</v>
      </c>
      <c r="L485" t="s">
        <v>49</v>
      </c>
      <c r="M485">
        <v>0</v>
      </c>
      <c r="N485">
        <f t="shared" si="31"/>
        <v>1</v>
      </c>
      <c r="P485" s="4">
        <f t="shared" si="28"/>
        <v>22</v>
      </c>
      <c r="Q485" s="4" t="str">
        <f t="shared" si="29"/>
        <v>Late Night</v>
      </c>
      <c r="R485" s="4" t="str">
        <f t="shared" si="30"/>
        <v>Low</v>
      </c>
    </row>
    <row r="486" spans="1:18">
      <c r="A486" t="s">
        <v>725</v>
      </c>
      <c r="B486" s="2">
        <v>46110</v>
      </c>
      <c r="C486" s="3">
        <v>0.411111111111111</v>
      </c>
      <c r="D486" t="s">
        <v>277</v>
      </c>
      <c r="E486">
        <v>151.74</v>
      </c>
      <c r="F486" t="s">
        <v>31</v>
      </c>
      <c r="G486" t="s">
        <v>48</v>
      </c>
      <c r="H486" t="s">
        <v>7</v>
      </c>
      <c r="I486" t="s">
        <v>15</v>
      </c>
      <c r="J486" t="s">
        <v>24</v>
      </c>
      <c r="K486">
        <v>25</v>
      </c>
      <c r="L486" t="s">
        <v>49</v>
      </c>
      <c r="M486">
        <v>0</v>
      </c>
      <c r="N486">
        <f t="shared" si="31"/>
        <v>1</v>
      </c>
      <c r="P486" s="4">
        <f t="shared" si="28"/>
        <v>9</v>
      </c>
      <c r="Q486" s="4" t="str">
        <f t="shared" si="29"/>
        <v>Late Night</v>
      </c>
      <c r="R486" s="4" t="str">
        <f t="shared" si="30"/>
        <v>Low</v>
      </c>
    </row>
    <row r="487" spans="1:18">
      <c r="A487" t="s">
        <v>726</v>
      </c>
      <c r="B487" s="2">
        <v>46110</v>
      </c>
      <c r="C487" s="3">
        <v>0.879166666666667</v>
      </c>
      <c r="D487" t="s">
        <v>340</v>
      </c>
      <c r="E487">
        <v>24.66</v>
      </c>
      <c r="F487" t="s">
        <v>29</v>
      </c>
      <c r="G487" t="s">
        <v>48</v>
      </c>
      <c r="H487" t="s">
        <v>6</v>
      </c>
      <c r="I487" t="s">
        <v>15</v>
      </c>
      <c r="J487" t="s">
        <v>24</v>
      </c>
      <c r="K487">
        <v>25</v>
      </c>
      <c r="L487" t="s">
        <v>49</v>
      </c>
      <c r="M487">
        <v>0</v>
      </c>
      <c r="N487">
        <f t="shared" si="31"/>
        <v>1</v>
      </c>
      <c r="P487" s="4">
        <f t="shared" si="28"/>
        <v>21</v>
      </c>
      <c r="Q487" s="4" t="str">
        <f t="shared" si="29"/>
        <v>Late Night</v>
      </c>
      <c r="R487" s="4" t="str">
        <f t="shared" si="30"/>
        <v>Low</v>
      </c>
    </row>
    <row r="488" spans="1:18">
      <c r="A488" t="s">
        <v>727</v>
      </c>
      <c r="B488" s="2">
        <v>46110</v>
      </c>
      <c r="C488" s="3">
        <v>0.172916666666667</v>
      </c>
      <c r="D488" t="s">
        <v>182</v>
      </c>
      <c r="E488">
        <v>64.81</v>
      </c>
      <c r="F488" t="s">
        <v>29</v>
      </c>
      <c r="G488" t="s">
        <v>48</v>
      </c>
      <c r="H488" t="s">
        <v>6</v>
      </c>
      <c r="I488" t="s">
        <v>15</v>
      </c>
      <c r="J488" t="s">
        <v>20</v>
      </c>
      <c r="K488">
        <v>50</v>
      </c>
      <c r="L488" t="s">
        <v>49</v>
      </c>
      <c r="M488">
        <v>0</v>
      </c>
      <c r="N488">
        <f t="shared" si="31"/>
        <v>1</v>
      </c>
      <c r="P488" s="4">
        <f t="shared" si="28"/>
        <v>4</v>
      </c>
      <c r="Q488" s="4" t="str">
        <f t="shared" si="29"/>
        <v>Late Night</v>
      </c>
      <c r="R488" s="4" t="str">
        <f t="shared" si="30"/>
        <v>Low</v>
      </c>
    </row>
    <row r="489" spans="1:18">
      <c r="A489" t="s">
        <v>728</v>
      </c>
      <c r="B489" s="2">
        <v>46110</v>
      </c>
      <c r="C489" s="3">
        <v>0.155555555555556</v>
      </c>
      <c r="D489" t="s">
        <v>316</v>
      </c>
      <c r="E489">
        <v>75.53</v>
      </c>
      <c r="F489" t="s">
        <v>31</v>
      </c>
      <c r="G489" t="s">
        <v>66</v>
      </c>
      <c r="H489" t="s">
        <v>5</v>
      </c>
      <c r="I489" t="s">
        <v>15</v>
      </c>
      <c r="J489" t="s">
        <v>23</v>
      </c>
      <c r="K489">
        <v>24</v>
      </c>
      <c r="L489" t="s">
        <v>49</v>
      </c>
      <c r="M489">
        <v>0</v>
      </c>
      <c r="N489">
        <f t="shared" si="31"/>
        <v>1</v>
      </c>
      <c r="P489" s="4">
        <f t="shared" si="28"/>
        <v>3</v>
      </c>
      <c r="Q489" s="4" t="str">
        <f t="shared" si="29"/>
        <v>Late Night</v>
      </c>
      <c r="R489" s="4" t="str">
        <f t="shared" si="30"/>
        <v>Low</v>
      </c>
    </row>
    <row r="490" spans="1:18">
      <c r="A490" t="s">
        <v>729</v>
      </c>
      <c r="B490" s="2">
        <v>46110</v>
      </c>
      <c r="C490" s="3">
        <v>0.0527777777777778</v>
      </c>
      <c r="D490" t="s">
        <v>665</v>
      </c>
      <c r="E490">
        <v>339.94</v>
      </c>
      <c r="F490" t="s">
        <v>31</v>
      </c>
      <c r="G490" t="s">
        <v>54</v>
      </c>
      <c r="H490" t="s">
        <v>10</v>
      </c>
      <c r="I490" t="s">
        <v>15</v>
      </c>
      <c r="J490" t="s">
        <v>19</v>
      </c>
      <c r="K490">
        <v>55</v>
      </c>
      <c r="L490" t="s">
        <v>49</v>
      </c>
      <c r="M490">
        <v>0</v>
      </c>
      <c r="N490">
        <f t="shared" si="31"/>
        <v>1</v>
      </c>
      <c r="P490" s="4">
        <f t="shared" si="28"/>
        <v>1</v>
      </c>
      <c r="Q490" s="4" t="str">
        <f t="shared" si="29"/>
        <v>Late Night</v>
      </c>
      <c r="R490" s="4" t="str">
        <f t="shared" si="30"/>
        <v>Low</v>
      </c>
    </row>
    <row r="491" spans="1:18">
      <c r="A491" t="s">
        <v>730</v>
      </c>
      <c r="B491" s="2">
        <v>46111</v>
      </c>
      <c r="C491" s="3">
        <v>0.809027777777778</v>
      </c>
      <c r="D491" t="s">
        <v>112</v>
      </c>
      <c r="E491">
        <v>126.8</v>
      </c>
      <c r="F491" t="s">
        <v>29</v>
      </c>
      <c r="G491" t="s">
        <v>54</v>
      </c>
      <c r="H491" t="s">
        <v>4</v>
      </c>
      <c r="I491" t="s">
        <v>15</v>
      </c>
      <c r="J491" t="s">
        <v>23</v>
      </c>
      <c r="K491">
        <v>38</v>
      </c>
      <c r="L491" t="s">
        <v>49</v>
      </c>
      <c r="M491">
        <v>0</v>
      </c>
      <c r="N491">
        <f t="shared" si="31"/>
        <v>1</v>
      </c>
      <c r="P491" s="4">
        <f t="shared" si="28"/>
        <v>19</v>
      </c>
      <c r="Q491" s="4" t="str">
        <f t="shared" si="29"/>
        <v>Late Night</v>
      </c>
      <c r="R491" s="4" t="str">
        <f t="shared" si="30"/>
        <v>Low</v>
      </c>
    </row>
    <row r="492" spans="1:18">
      <c r="A492" t="s">
        <v>731</v>
      </c>
      <c r="B492" s="2">
        <v>46111</v>
      </c>
      <c r="C492" s="3">
        <v>0.388888888888889</v>
      </c>
      <c r="D492" t="s">
        <v>255</v>
      </c>
      <c r="E492">
        <v>982.79</v>
      </c>
      <c r="G492" t="s">
        <v>54</v>
      </c>
      <c r="H492" t="s">
        <v>9</v>
      </c>
      <c r="I492" t="s">
        <v>15</v>
      </c>
      <c r="J492" t="s">
        <v>24</v>
      </c>
      <c r="K492">
        <v>25</v>
      </c>
      <c r="L492" t="s">
        <v>49</v>
      </c>
      <c r="M492">
        <v>0</v>
      </c>
      <c r="N492">
        <f t="shared" si="31"/>
        <v>1</v>
      </c>
      <c r="O492" t="s">
        <v>43</v>
      </c>
      <c r="P492" s="4">
        <f t="shared" si="28"/>
        <v>9</v>
      </c>
      <c r="Q492" s="4" t="str">
        <f t="shared" si="29"/>
        <v>Late Night</v>
      </c>
      <c r="R492" s="4" t="str">
        <f t="shared" si="30"/>
        <v>Low</v>
      </c>
    </row>
    <row r="493" spans="1:18">
      <c r="A493" t="s">
        <v>732</v>
      </c>
      <c r="B493" s="2">
        <v>46111</v>
      </c>
      <c r="C493" s="3">
        <v>0.76875</v>
      </c>
      <c r="D493" t="s">
        <v>253</v>
      </c>
      <c r="E493">
        <v>786.54</v>
      </c>
      <c r="F493" t="s">
        <v>31</v>
      </c>
      <c r="G493" t="s">
        <v>48</v>
      </c>
      <c r="H493" t="s">
        <v>6</v>
      </c>
      <c r="I493" t="s">
        <v>15</v>
      </c>
      <c r="J493" t="s">
        <v>21</v>
      </c>
      <c r="K493">
        <v>38</v>
      </c>
      <c r="L493" t="s">
        <v>49</v>
      </c>
      <c r="M493">
        <v>0</v>
      </c>
      <c r="N493">
        <f t="shared" si="31"/>
        <v>1</v>
      </c>
      <c r="P493" s="4">
        <f t="shared" si="28"/>
        <v>18</v>
      </c>
      <c r="Q493" s="4" t="str">
        <f t="shared" si="29"/>
        <v>Late Night</v>
      </c>
      <c r="R493" s="4" t="str">
        <f t="shared" si="30"/>
        <v>Low</v>
      </c>
    </row>
    <row r="494" spans="1:18">
      <c r="A494" t="s">
        <v>733</v>
      </c>
      <c r="B494" s="2">
        <v>46111</v>
      </c>
      <c r="C494" s="3">
        <v>0.0395833333333333</v>
      </c>
      <c r="D494" t="s">
        <v>342</v>
      </c>
      <c r="E494">
        <v>966.52</v>
      </c>
      <c r="F494" t="s">
        <v>32</v>
      </c>
      <c r="G494" t="s">
        <v>48</v>
      </c>
      <c r="H494" t="s">
        <v>6</v>
      </c>
      <c r="I494" t="s">
        <v>14</v>
      </c>
      <c r="J494" t="s">
        <v>23</v>
      </c>
      <c r="K494">
        <v>37</v>
      </c>
      <c r="L494" t="s">
        <v>168</v>
      </c>
      <c r="M494">
        <v>1</v>
      </c>
      <c r="N494">
        <f t="shared" si="31"/>
        <v>1</v>
      </c>
      <c r="P494" s="4">
        <f t="shared" si="28"/>
        <v>0</v>
      </c>
      <c r="Q494" s="4" t="str">
        <f t="shared" si="29"/>
        <v>Late Night</v>
      </c>
      <c r="R494" s="4" t="str">
        <f t="shared" si="30"/>
        <v>Low</v>
      </c>
    </row>
    <row r="495" spans="1:18">
      <c r="A495" t="s">
        <v>734</v>
      </c>
      <c r="B495" s="2">
        <v>46111</v>
      </c>
      <c r="C495" s="3">
        <v>0.989583333333333</v>
      </c>
      <c r="D495" t="s">
        <v>735</v>
      </c>
      <c r="E495">
        <v>72.49</v>
      </c>
      <c r="F495" t="s">
        <v>31</v>
      </c>
      <c r="G495" t="s">
        <v>59</v>
      </c>
      <c r="H495" t="s">
        <v>5</v>
      </c>
      <c r="I495" t="s">
        <v>15</v>
      </c>
      <c r="J495" t="s">
        <v>20</v>
      </c>
      <c r="K495">
        <v>25</v>
      </c>
      <c r="L495" t="s">
        <v>49</v>
      </c>
      <c r="M495">
        <v>0</v>
      </c>
      <c r="N495">
        <f t="shared" si="31"/>
        <v>1</v>
      </c>
      <c r="P495" s="4">
        <f t="shared" si="28"/>
        <v>23</v>
      </c>
      <c r="Q495" s="4" t="str">
        <f t="shared" si="29"/>
        <v>Late Night</v>
      </c>
      <c r="R495" s="4" t="str">
        <f t="shared" si="30"/>
        <v>Low</v>
      </c>
    </row>
    <row r="496" spans="1:18">
      <c r="A496" t="s">
        <v>736</v>
      </c>
      <c r="B496" s="2">
        <v>46112</v>
      </c>
      <c r="C496" s="3">
        <v>0.167361111111111</v>
      </c>
      <c r="D496" t="s">
        <v>143</v>
      </c>
      <c r="E496">
        <v>296.16</v>
      </c>
      <c r="F496" t="s">
        <v>29</v>
      </c>
      <c r="G496" t="s">
        <v>71</v>
      </c>
      <c r="H496" t="s">
        <v>7</v>
      </c>
      <c r="I496" t="s">
        <v>15</v>
      </c>
      <c r="J496" t="s">
        <v>23</v>
      </c>
      <c r="K496">
        <v>63</v>
      </c>
      <c r="L496" t="s">
        <v>49</v>
      </c>
      <c r="M496">
        <v>0</v>
      </c>
      <c r="N496">
        <f t="shared" si="31"/>
        <v>1</v>
      </c>
      <c r="P496" s="4">
        <f t="shared" si="28"/>
        <v>4</v>
      </c>
      <c r="Q496" s="4" t="str">
        <f t="shared" si="29"/>
        <v>Late Night</v>
      </c>
      <c r="R496" s="4" t="str">
        <f t="shared" si="30"/>
        <v>Low</v>
      </c>
    </row>
    <row r="497" spans="1:18">
      <c r="A497" t="s">
        <v>737</v>
      </c>
      <c r="B497" s="2">
        <v>46112</v>
      </c>
      <c r="C497" s="3">
        <v>0.540972222222222</v>
      </c>
      <c r="D497" t="s">
        <v>137</v>
      </c>
      <c r="E497">
        <v>112.45</v>
      </c>
      <c r="F497" t="s">
        <v>32</v>
      </c>
      <c r="G497" t="s">
        <v>66</v>
      </c>
      <c r="H497" t="s">
        <v>5</v>
      </c>
      <c r="I497" t="s">
        <v>15</v>
      </c>
      <c r="J497" t="s">
        <v>20</v>
      </c>
      <c r="K497">
        <v>48</v>
      </c>
      <c r="L497" t="s">
        <v>49</v>
      </c>
      <c r="M497">
        <v>0</v>
      </c>
      <c r="N497">
        <f t="shared" si="31"/>
        <v>1</v>
      </c>
      <c r="P497" s="4">
        <f t="shared" si="28"/>
        <v>12</v>
      </c>
      <c r="Q497" s="4" t="str">
        <f t="shared" si="29"/>
        <v>Late Night</v>
      </c>
      <c r="R497" s="4" t="str">
        <f t="shared" si="30"/>
        <v>Low</v>
      </c>
    </row>
    <row r="498" spans="1:18">
      <c r="A498" t="s">
        <v>738</v>
      </c>
      <c r="B498" s="2">
        <v>46112</v>
      </c>
      <c r="C498" s="3">
        <v>0.161805555555556</v>
      </c>
      <c r="D498" t="s">
        <v>91</v>
      </c>
      <c r="E498">
        <v>251.61</v>
      </c>
      <c r="F498" t="s">
        <v>31</v>
      </c>
      <c r="G498" t="s">
        <v>48</v>
      </c>
      <c r="H498" t="s">
        <v>8</v>
      </c>
      <c r="I498" t="s">
        <v>15</v>
      </c>
      <c r="J498" t="s">
        <v>19</v>
      </c>
      <c r="K498">
        <v>46</v>
      </c>
      <c r="L498" t="s">
        <v>49</v>
      </c>
      <c r="M498">
        <v>0</v>
      </c>
      <c r="N498">
        <f t="shared" si="31"/>
        <v>1</v>
      </c>
      <c r="P498" s="4">
        <f t="shared" si="28"/>
        <v>3</v>
      </c>
      <c r="Q498" s="4" t="str">
        <f t="shared" si="29"/>
        <v>Late Night</v>
      </c>
      <c r="R498" s="4" t="str">
        <f t="shared" si="30"/>
        <v>Low</v>
      </c>
    </row>
    <row r="499" spans="1:18">
      <c r="A499" t="s">
        <v>739</v>
      </c>
      <c r="B499" s="2">
        <v>46112</v>
      </c>
      <c r="C499" s="3">
        <v>0.654166666666667</v>
      </c>
      <c r="D499" t="s">
        <v>443</v>
      </c>
      <c r="E499">
        <v>80.99</v>
      </c>
      <c r="F499" t="s">
        <v>31</v>
      </c>
      <c r="G499" t="s">
        <v>71</v>
      </c>
      <c r="H499" t="s">
        <v>4</v>
      </c>
      <c r="I499" t="s">
        <v>15</v>
      </c>
      <c r="J499" t="s">
        <v>23</v>
      </c>
      <c r="K499">
        <v>65</v>
      </c>
      <c r="L499" t="s">
        <v>49</v>
      </c>
      <c r="M499">
        <v>0</v>
      </c>
      <c r="N499">
        <f t="shared" si="31"/>
        <v>1</v>
      </c>
      <c r="P499" s="4">
        <f t="shared" si="28"/>
        <v>15</v>
      </c>
      <c r="Q499" s="4" t="str">
        <f t="shared" si="29"/>
        <v>Late Night</v>
      </c>
      <c r="R499" s="4" t="str">
        <f t="shared" si="30"/>
        <v>Low</v>
      </c>
    </row>
    <row r="500" spans="1:18">
      <c r="A500" t="s">
        <v>740</v>
      </c>
      <c r="B500" s="2">
        <v>46112</v>
      </c>
      <c r="C500" s="3">
        <v>0.958333333333333</v>
      </c>
      <c r="D500" t="s">
        <v>195</v>
      </c>
      <c r="E500">
        <v>617.79</v>
      </c>
      <c r="F500" t="s">
        <v>31</v>
      </c>
      <c r="G500" t="s">
        <v>66</v>
      </c>
      <c r="H500" t="s">
        <v>10</v>
      </c>
      <c r="I500" t="s">
        <v>15</v>
      </c>
      <c r="J500" t="s">
        <v>20</v>
      </c>
      <c r="K500">
        <v>26</v>
      </c>
      <c r="L500" t="s">
        <v>49</v>
      </c>
      <c r="M500">
        <v>0</v>
      </c>
      <c r="N500">
        <f t="shared" si="31"/>
        <v>1</v>
      </c>
      <c r="P500" s="4">
        <f t="shared" si="28"/>
        <v>23</v>
      </c>
      <c r="Q500" s="4" t="str">
        <f t="shared" si="29"/>
        <v>Late Night</v>
      </c>
      <c r="R500" s="4" t="str">
        <f t="shared" si="30"/>
        <v>Low</v>
      </c>
    </row>
    <row r="501" spans="1:18">
      <c r="A501" t="s">
        <v>741</v>
      </c>
      <c r="B501" s="2">
        <v>46112</v>
      </c>
      <c r="C501" s="3">
        <v>0.659722222222222</v>
      </c>
      <c r="D501" t="s">
        <v>410</v>
      </c>
      <c r="E501">
        <v>82.52</v>
      </c>
      <c r="F501" t="s">
        <v>31</v>
      </c>
      <c r="G501" t="s">
        <v>66</v>
      </c>
      <c r="H501" t="s">
        <v>3</v>
      </c>
      <c r="I501" t="s">
        <v>14</v>
      </c>
      <c r="J501" t="s">
        <v>23</v>
      </c>
      <c r="K501">
        <v>32</v>
      </c>
      <c r="L501" t="s">
        <v>85</v>
      </c>
      <c r="M501">
        <v>1</v>
      </c>
      <c r="N501">
        <f t="shared" si="31"/>
        <v>1</v>
      </c>
      <c r="P501" s="4">
        <f t="shared" si="28"/>
        <v>15</v>
      </c>
      <c r="Q501" s="4" t="str">
        <f t="shared" si="29"/>
        <v>Late Night</v>
      </c>
      <c r="R501" s="4" t="str">
        <f t="shared" si="30"/>
        <v>Low</v>
      </c>
    </row>
    <row r="502" spans="1:18">
      <c r="A502" t="s">
        <v>742</v>
      </c>
      <c r="B502" s="2">
        <v>46113</v>
      </c>
      <c r="C502" s="3">
        <v>0.952777777777778</v>
      </c>
      <c r="D502" t="s">
        <v>314</v>
      </c>
      <c r="E502">
        <v>25.86</v>
      </c>
      <c r="F502" t="s">
        <v>31</v>
      </c>
      <c r="G502" t="s">
        <v>54</v>
      </c>
      <c r="H502" t="s">
        <v>3</v>
      </c>
      <c r="I502" t="s">
        <v>14</v>
      </c>
      <c r="J502" t="s">
        <v>19</v>
      </c>
      <c r="K502">
        <v>47</v>
      </c>
      <c r="L502" t="s">
        <v>49</v>
      </c>
      <c r="M502">
        <v>0</v>
      </c>
      <c r="N502">
        <f t="shared" si="31"/>
        <v>1</v>
      </c>
      <c r="P502" s="4">
        <f t="shared" si="28"/>
        <v>22</v>
      </c>
      <c r="Q502" s="4" t="str">
        <f t="shared" si="29"/>
        <v>Late Night</v>
      </c>
      <c r="R502" s="4" t="str">
        <f t="shared" si="30"/>
        <v>Low</v>
      </c>
    </row>
    <row r="503" spans="1:18">
      <c r="A503" t="s">
        <v>743</v>
      </c>
      <c r="B503" s="2">
        <v>46113</v>
      </c>
      <c r="C503" s="3">
        <v>0.0659722222222222</v>
      </c>
      <c r="D503" t="s">
        <v>230</v>
      </c>
      <c r="E503">
        <v>1385.45</v>
      </c>
      <c r="F503" t="s">
        <v>29</v>
      </c>
      <c r="G503" t="s">
        <v>54</v>
      </c>
      <c r="H503" t="s">
        <v>10</v>
      </c>
      <c r="I503" t="s">
        <v>15</v>
      </c>
      <c r="J503" t="s">
        <v>23</v>
      </c>
      <c r="K503">
        <v>43</v>
      </c>
      <c r="L503" t="s">
        <v>49</v>
      </c>
      <c r="M503">
        <v>0</v>
      </c>
      <c r="N503">
        <f t="shared" si="31"/>
        <v>1</v>
      </c>
      <c r="P503" s="4">
        <f t="shared" si="28"/>
        <v>1</v>
      </c>
      <c r="Q503" s="4" t="str">
        <f t="shared" si="29"/>
        <v>Late Night</v>
      </c>
      <c r="R503" s="4" t="str">
        <f t="shared" si="30"/>
        <v>Medium</v>
      </c>
    </row>
    <row r="504" spans="1:18">
      <c r="A504" t="s">
        <v>744</v>
      </c>
      <c r="B504" s="2">
        <v>46113</v>
      </c>
      <c r="C504" s="3">
        <v>0.701388888888889</v>
      </c>
      <c r="D504" t="s">
        <v>108</v>
      </c>
      <c r="E504">
        <v>282.17</v>
      </c>
      <c r="F504" t="s">
        <v>31</v>
      </c>
      <c r="G504" t="s">
        <v>48</v>
      </c>
      <c r="H504" t="s">
        <v>7</v>
      </c>
      <c r="I504" t="s">
        <v>14</v>
      </c>
      <c r="J504" t="s">
        <v>22</v>
      </c>
      <c r="K504">
        <v>27</v>
      </c>
      <c r="L504" t="s">
        <v>49</v>
      </c>
      <c r="M504">
        <v>0</v>
      </c>
      <c r="N504">
        <f t="shared" si="31"/>
        <v>1</v>
      </c>
      <c r="P504" s="4">
        <f t="shared" si="28"/>
        <v>16</v>
      </c>
      <c r="Q504" s="4" t="str">
        <f t="shared" si="29"/>
        <v>Late Night</v>
      </c>
      <c r="R504" s="4" t="str">
        <f t="shared" si="30"/>
        <v>Low</v>
      </c>
    </row>
    <row r="505" spans="1:18">
      <c r="A505" t="s">
        <v>745</v>
      </c>
      <c r="B505" s="2">
        <v>46113</v>
      </c>
      <c r="C505" s="3">
        <v>0.809027777777778</v>
      </c>
      <c r="D505" t="s">
        <v>239</v>
      </c>
      <c r="E505">
        <v>62.23</v>
      </c>
      <c r="F505" t="s">
        <v>28</v>
      </c>
      <c r="G505" t="s">
        <v>48</v>
      </c>
      <c r="H505" t="s">
        <v>8</v>
      </c>
      <c r="I505" t="s">
        <v>15</v>
      </c>
      <c r="J505" t="s">
        <v>20</v>
      </c>
      <c r="K505">
        <v>46</v>
      </c>
      <c r="L505" t="s">
        <v>159</v>
      </c>
      <c r="M505">
        <v>0</v>
      </c>
      <c r="N505">
        <f t="shared" si="31"/>
        <v>1</v>
      </c>
      <c r="P505" s="4">
        <f t="shared" si="28"/>
        <v>19</v>
      </c>
      <c r="Q505" s="4" t="str">
        <f t="shared" si="29"/>
        <v>Late Night</v>
      </c>
      <c r="R505" s="4" t="str">
        <f t="shared" si="30"/>
        <v>Low</v>
      </c>
    </row>
    <row r="506" spans="1:18">
      <c r="A506" t="s">
        <v>746</v>
      </c>
      <c r="B506" s="2">
        <v>46113</v>
      </c>
      <c r="C506" s="3">
        <v>0.977777777777778</v>
      </c>
      <c r="D506" t="s">
        <v>292</v>
      </c>
      <c r="E506">
        <v>154.12</v>
      </c>
      <c r="F506" t="s">
        <v>32</v>
      </c>
      <c r="G506" t="s">
        <v>48</v>
      </c>
      <c r="H506" t="s">
        <v>6</v>
      </c>
      <c r="I506" t="s">
        <v>15</v>
      </c>
      <c r="J506" t="s">
        <v>19</v>
      </c>
      <c r="K506">
        <v>33</v>
      </c>
      <c r="L506" t="s">
        <v>49</v>
      </c>
      <c r="M506">
        <v>1</v>
      </c>
      <c r="N506">
        <f t="shared" si="31"/>
        <v>1</v>
      </c>
      <c r="P506" s="4">
        <f t="shared" si="28"/>
        <v>23</v>
      </c>
      <c r="Q506" s="4" t="str">
        <f t="shared" si="29"/>
        <v>Late Night</v>
      </c>
      <c r="R506" s="4" t="str">
        <f t="shared" si="30"/>
        <v>Low</v>
      </c>
    </row>
    <row r="507" spans="1:18">
      <c r="A507" t="s">
        <v>747</v>
      </c>
      <c r="B507" s="2">
        <v>46113</v>
      </c>
      <c r="C507" s="3">
        <v>0.472222222222222</v>
      </c>
      <c r="D507" t="s">
        <v>554</v>
      </c>
      <c r="E507">
        <v>101.81</v>
      </c>
      <c r="F507" t="s">
        <v>30</v>
      </c>
      <c r="G507" t="s">
        <v>48</v>
      </c>
      <c r="H507" t="s">
        <v>7</v>
      </c>
      <c r="I507" t="s">
        <v>15</v>
      </c>
      <c r="J507" t="s">
        <v>20</v>
      </c>
      <c r="K507">
        <v>53</v>
      </c>
      <c r="L507" t="s">
        <v>49</v>
      </c>
      <c r="M507">
        <v>0</v>
      </c>
      <c r="N507">
        <f t="shared" si="31"/>
        <v>1</v>
      </c>
      <c r="P507" s="4">
        <f t="shared" si="28"/>
        <v>11</v>
      </c>
      <c r="Q507" s="4" t="str">
        <f t="shared" si="29"/>
        <v>Late Night</v>
      </c>
      <c r="R507" s="4" t="str">
        <f t="shared" si="30"/>
        <v>Low</v>
      </c>
    </row>
    <row r="508" spans="1:18">
      <c r="A508" t="s">
        <v>748</v>
      </c>
      <c r="B508" s="2">
        <v>46114</v>
      </c>
      <c r="C508" s="3">
        <v>0.715277777777778</v>
      </c>
      <c r="D508" t="s">
        <v>314</v>
      </c>
      <c r="E508">
        <v>182.32</v>
      </c>
      <c r="F508" t="s">
        <v>29</v>
      </c>
      <c r="G508" t="s">
        <v>54</v>
      </c>
      <c r="H508" t="s">
        <v>6</v>
      </c>
      <c r="I508" t="s">
        <v>15</v>
      </c>
      <c r="J508" t="s">
        <v>20</v>
      </c>
      <c r="K508">
        <v>37</v>
      </c>
      <c r="L508" t="s">
        <v>49</v>
      </c>
      <c r="M508">
        <v>0</v>
      </c>
      <c r="N508">
        <f t="shared" si="31"/>
        <v>1</v>
      </c>
      <c r="P508" s="4">
        <f t="shared" si="28"/>
        <v>17</v>
      </c>
      <c r="Q508" s="4" t="str">
        <f t="shared" si="29"/>
        <v>Late Night</v>
      </c>
      <c r="R508" s="4" t="str">
        <f t="shared" si="30"/>
        <v>Low</v>
      </c>
    </row>
    <row r="509" spans="1:18">
      <c r="A509" t="s">
        <v>749</v>
      </c>
      <c r="B509" s="2">
        <v>46114</v>
      </c>
      <c r="C509" s="3">
        <v>0.110416666666667</v>
      </c>
      <c r="D509" t="s">
        <v>91</v>
      </c>
      <c r="E509">
        <v>404.55</v>
      </c>
      <c r="F509" t="s">
        <v>31</v>
      </c>
      <c r="G509" t="s">
        <v>66</v>
      </c>
      <c r="H509" t="s">
        <v>6</v>
      </c>
      <c r="I509" t="s">
        <v>15</v>
      </c>
      <c r="J509" t="s">
        <v>18</v>
      </c>
      <c r="K509">
        <v>62</v>
      </c>
      <c r="L509" t="s">
        <v>49</v>
      </c>
      <c r="M509">
        <v>0</v>
      </c>
      <c r="N509">
        <f t="shared" si="31"/>
        <v>1</v>
      </c>
      <c r="P509" s="4">
        <f t="shared" si="28"/>
        <v>2</v>
      </c>
      <c r="Q509" s="4" t="str">
        <f t="shared" si="29"/>
        <v>Late Night</v>
      </c>
      <c r="R509" s="4" t="str">
        <f t="shared" si="30"/>
        <v>Low</v>
      </c>
    </row>
    <row r="510" spans="1:18">
      <c r="A510" t="s">
        <v>750</v>
      </c>
      <c r="B510" s="2">
        <v>46114</v>
      </c>
      <c r="C510" s="3">
        <v>0.00694444444444444</v>
      </c>
      <c r="D510" t="s">
        <v>195</v>
      </c>
      <c r="E510">
        <v>345.77</v>
      </c>
      <c r="F510" t="s">
        <v>29</v>
      </c>
      <c r="G510" t="s">
        <v>54</v>
      </c>
      <c r="H510" t="s">
        <v>3</v>
      </c>
      <c r="I510" t="s">
        <v>15</v>
      </c>
      <c r="J510" t="s">
        <v>19</v>
      </c>
      <c r="K510">
        <v>54</v>
      </c>
      <c r="L510" t="s">
        <v>49</v>
      </c>
      <c r="M510">
        <v>0</v>
      </c>
      <c r="N510">
        <f t="shared" si="31"/>
        <v>1</v>
      </c>
      <c r="P510" s="4">
        <f t="shared" si="28"/>
        <v>0</v>
      </c>
      <c r="Q510" s="4" t="str">
        <f t="shared" si="29"/>
        <v>Late Night</v>
      </c>
      <c r="R510" s="4" t="str">
        <f t="shared" si="30"/>
        <v>Low</v>
      </c>
    </row>
    <row r="511" spans="1:18">
      <c r="A511" t="s">
        <v>751</v>
      </c>
      <c r="B511" s="2">
        <v>46114</v>
      </c>
      <c r="C511" s="3">
        <v>0.0243055555555556</v>
      </c>
      <c r="D511" t="s">
        <v>203</v>
      </c>
      <c r="E511">
        <v>233.63</v>
      </c>
      <c r="F511" t="s">
        <v>28</v>
      </c>
      <c r="G511" t="s">
        <v>48</v>
      </c>
      <c r="H511" t="s">
        <v>7</v>
      </c>
      <c r="I511" t="s">
        <v>15</v>
      </c>
      <c r="J511" t="s">
        <v>23</v>
      </c>
      <c r="K511">
        <v>39</v>
      </c>
      <c r="L511" t="s">
        <v>49</v>
      </c>
      <c r="M511">
        <v>0</v>
      </c>
      <c r="N511">
        <f t="shared" si="31"/>
        <v>1</v>
      </c>
      <c r="P511" s="4">
        <f t="shared" si="28"/>
        <v>0</v>
      </c>
      <c r="Q511" s="4" t="str">
        <f t="shared" si="29"/>
        <v>Late Night</v>
      </c>
      <c r="R511" s="4" t="str">
        <f t="shared" si="30"/>
        <v>Low</v>
      </c>
    </row>
    <row r="512" spans="1:18">
      <c r="A512" t="s">
        <v>752</v>
      </c>
      <c r="B512" s="2">
        <v>46114</v>
      </c>
      <c r="C512" s="3">
        <v>0.783333333333333</v>
      </c>
      <c r="D512" t="s">
        <v>91</v>
      </c>
      <c r="E512">
        <v>182.23</v>
      </c>
      <c r="F512" t="s">
        <v>28</v>
      </c>
      <c r="G512" t="s">
        <v>71</v>
      </c>
      <c r="H512" t="s">
        <v>8</v>
      </c>
      <c r="I512" t="s">
        <v>14</v>
      </c>
      <c r="J512" t="s">
        <v>20</v>
      </c>
      <c r="K512">
        <v>24</v>
      </c>
      <c r="L512" t="s">
        <v>49</v>
      </c>
      <c r="M512">
        <v>0</v>
      </c>
      <c r="N512">
        <f t="shared" si="31"/>
        <v>1</v>
      </c>
      <c r="P512" s="4">
        <f t="shared" si="28"/>
        <v>18</v>
      </c>
      <c r="Q512" s="4" t="str">
        <f t="shared" si="29"/>
        <v>Late Night</v>
      </c>
      <c r="R512" s="4" t="str">
        <f t="shared" si="30"/>
        <v>Low</v>
      </c>
    </row>
    <row r="513" spans="1:18">
      <c r="A513" t="s">
        <v>753</v>
      </c>
      <c r="B513" s="2">
        <v>46115</v>
      </c>
      <c r="C513" s="3">
        <v>0.456944444444444</v>
      </c>
      <c r="D513" t="s">
        <v>754</v>
      </c>
      <c r="E513">
        <v>533.08</v>
      </c>
      <c r="F513" t="s">
        <v>31</v>
      </c>
      <c r="G513" t="s">
        <v>71</v>
      </c>
      <c r="H513" t="s">
        <v>5</v>
      </c>
      <c r="I513" t="s">
        <v>15</v>
      </c>
      <c r="J513" t="s">
        <v>24</v>
      </c>
      <c r="K513">
        <v>40</v>
      </c>
      <c r="L513" t="s">
        <v>49</v>
      </c>
      <c r="M513">
        <v>0</v>
      </c>
      <c r="N513">
        <f t="shared" si="31"/>
        <v>1</v>
      </c>
      <c r="P513" s="4">
        <f t="shared" si="28"/>
        <v>10</v>
      </c>
      <c r="Q513" s="4" t="str">
        <f t="shared" si="29"/>
        <v>Late Night</v>
      </c>
      <c r="R513" s="4" t="str">
        <f t="shared" si="30"/>
        <v>Low</v>
      </c>
    </row>
    <row r="514" spans="1:18">
      <c r="A514" t="s">
        <v>755</v>
      </c>
      <c r="B514" s="2">
        <v>46115</v>
      </c>
      <c r="C514" s="3">
        <v>0.193055555555556</v>
      </c>
      <c r="D514" t="s">
        <v>735</v>
      </c>
      <c r="E514">
        <v>26.43</v>
      </c>
      <c r="F514" t="s">
        <v>30</v>
      </c>
      <c r="G514" t="s">
        <v>66</v>
      </c>
      <c r="H514" t="s">
        <v>6</v>
      </c>
      <c r="I514" t="s">
        <v>15</v>
      </c>
      <c r="J514" t="s">
        <v>18</v>
      </c>
      <c r="K514">
        <v>58</v>
      </c>
      <c r="L514" t="s">
        <v>49</v>
      </c>
      <c r="M514">
        <v>1</v>
      </c>
      <c r="N514">
        <f t="shared" si="31"/>
        <v>1</v>
      </c>
      <c r="P514" s="4">
        <f t="shared" ref="P514:P577" si="32">HOUR(C514)</f>
        <v>4</v>
      </c>
      <c r="Q514" s="4" t="str">
        <f t="shared" ref="Q514:Q577" si="33">IF(N514&lt;6,"Late Night",IF(N514&lt;12,"Morning",IF(N514&lt;18,"Afternoon","Evening")))</f>
        <v>Late Night</v>
      </c>
      <c r="R514" s="4" t="str">
        <f t="shared" ref="R514:R577" si="34">IF(E514&lt;1000,"Low",IF(E514&lt;5000,"Medium",IF(E514&lt;15000,"High","Very High")))</f>
        <v>Low</v>
      </c>
    </row>
    <row r="515" spans="1:18">
      <c r="A515" t="s">
        <v>756</v>
      </c>
      <c r="B515" s="2">
        <v>46115</v>
      </c>
      <c r="C515" s="3">
        <v>0.485416666666667</v>
      </c>
      <c r="D515" t="s">
        <v>153</v>
      </c>
      <c r="E515">
        <v>85.72</v>
      </c>
      <c r="F515" t="s">
        <v>28</v>
      </c>
      <c r="G515" t="s">
        <v>71</v>
      </c>
      <c r="H515" t="s">
        <v>9</v>
      </c>
      <c r="I515" t="s">
        <v>15</v>
      </c>
      <c r="J515" t="s">
        <v>22</v>
      </c>
      <c r="K515">
        <v>57</v>
      </c>
      <c r="L515" t="s">
        <v>49</v>
      </c>
      <c r="M515">
        <v>0</v>
      </c>
      <c r="N515">
        <f t="shared" ref="N515:N578" si="35">COUNTIF($A$2:$A$1001,A515)</f>
        <v>1</v>
      </c>
      <c r="P515" s="4">
        <f t="shared" si="32"/>
        <v>11</v>
      </c>
      <c r="Q515" s="4" t="str">
        <f t="shared" si="33"/>
        <v>Late Night</v>
      </c>
      <c r="R515" s="4" t="str">
        <f t="shared" si="34"/>
        <v>Low</v>
      </c>
    </row>
    <row r="516" spans="1:18">
      <c r="A516" t="s">
        <v>757</v>
      </c>
      <c r="B516" s="2">
        <v>46115</v>
      </c>
      <c r="C516" s="3">
        <v>0.106944444444444</v>
      </c>
      <c r="D516" t="s">
        <v>68</v>
      </c>
      <c r="E516">
        <v>68.12</v>
      </c>
      <c r="F516" t="s">
        <v>31</v>
      </c>
      <c r="G516" t="s">
        <v>59</v>
      </c>
      <c r="H516" t="s">
        <v>9</v>
      </c>
      <c r="I516" t="s">
        <v>14</v>
      </c>
      <c r="J516" t="s">
        <v>20</v>
      </c>
      <c r="K516">
        <v>46</v>
      </c>
      <c r="L516" t="s">
        <v>49</v>
      </c>
      <c r="M516">
        <v>0</v>
      </c>
      <c r="N516">
        <f t="shared" si="35"/>
        <v>1</v>
      </c>
      <c r="P516" s="4">
        <f t="shared" si="32"/>
        <v>2</v>
      </c>
      <c r="Q516" s="4" t="str">
        <f t="shared" si="33"/>
        <v>Late Night</v>
      </c>
      <c r="R516" s="4" t="str">
        <f t="shared" si="34"/>
        <v>Low</v>
      </c>
    </row>
    <row r="517" spans="1:18">
      <c r="A517" t="s">
        <v>758</v>
      </c>
      <c r="B517" s="2">
        <v>46115</v>
      </c>
      <c r="C517" s="3">
        <v>0.0368055555555556</v>
      </c>
      <c r="D517" t="s">
        <v>99</v>
      </c>
      <c r="E517">
        <v>495.84</v>
      </c>
      <c r="F517" t="s">
        <v>31</v>
      </c>
      <c r="G517" t="s">
        <v>71</v>
      </c>
      <c r="H517" t="s">
        <v>5</v>
      </c>
      <c r="I517" t="s">
        <v>15</v>
      </c>
      <c r="J517" t="s">
        <v>20</v>
      </c>
      <c r="K517">
        <v>33</v>
      </c>
      <c r="L517" t="s">
        <v>49</v>
      </c>
      <c r="M517">
        <v>0</v>
      </c>
      <c r="N517">
        <f t="shared" si="35"/>
        <v>1</v>
      </c>
      <c r="P517" s="4">
        <f t="shared" si="32"/>
        <v>0</v>
      </c>
      <c r="Q517" s="4" t="str">
        <f t="shared" si="33"/>
        <v>Late Night</v>
      </c>
      <c r="R517" s="4" t="str">
        <f t="shared" si="34"/>
        <v>Low</v>
      </c>
    </row>
    <row r="518" spans="1:18">
      <c r="A518" t="s">
        <v>759</v>
      </c>
      <c r="B518" s="2">
        <v>46115</v>
      </c>
      <c r="C518" s="3">
        <v>0.0229166666666667</v>
      </c>
      <c r="D518" t="s">
        <v>53</v>
      </c>
      <c r="E518">
        <v>86.57</v>
      </c>
      <c r="F518" t="s">
        <v>28</v>
      </c>
      <c r="G518" t="s">
        <v>48</v>
      </c>
      <c r="H518" t="s">
        <v>9</v>
      </c>
      <c r="I518" t="s">
        <v>15</v>
      </c>
      <c r="J518" t="s">
        <v>18</v>
      </c>
      <c r="K518">
        <v>55</v>
      </c>
      <c r="L518" t="s">
        <v>49</v>
      </c>
      <c r="M518">
        <v>0</v>
      </c>
      <c r="N518">
        <f t="shared" si="35"/>
        <v>1</v>
      </c>
      <c r="P518" s="4">
        <f t="shared" si="32"/>
        <v>0</v>
      </c>
      <c r="Q518" s="4" t="str">
        <f t="shared" si="33"/>
        <v>Late Night</v>
      </c>
      <c r="R518" s="4" t="str">
        <f t="shared" si="34"/>
        <v>Low</v>
      </c>
    </row>
    <row r="519" spans="1:18">
      <c r="A519" t="s">
        <v>760</v>
      </c>
      <c r="B519" s="2">
        <v>46116</v>
      </c>
      <c r="C519" s="3">
        <v>0.329166666666667</v>
      </c>
      <c r="D519" t="s">
        <v>145</v>
      </c>
      <c r="E519">
        <v>50.1</v>
      </c>
      <c r="F519" t="s">
        <v>30</v>
      </c>
      <c r="G519" t="s">
        <v>54</v>
      </c>
      <c r="H519" t="s">
        <v>4</v>
      </c>
      <c r="I519" t="s">
        <v>15</v>
      </c>
      <c r="J519" t="s">
        <v>23</v>
      </c>
      <c r="K519">
        <v>45</v>
      </c>
      <c r="L519" t="s">
        <v>49</v>
      </c>
      <c r="M519">
        <v>0</v>
      </c>
      <c r="N519">
        <f t="shared" si="35"/>
        <v>1</v>
      </c>
      <c r="P519" s="4">
        <f t="shared" si="32"/>
        <v>7</v>
      </c>
      <c r="Q519" s="4" t="str">
        <f t="shared" si="33"/>
        <v>Late Night</v>
      </c>
      <c r="R519" s="4" t="str">
        <f t="shared" si="34"/>
        <v>Low</v>
      </c>
    </row>
    <row r="520" spans="1:18">
      <c r="A520" t="s">
        <v>761</v>
      </c>
      <c r="B520" s="2">
        <v>46116</v>
      </c>
      <c r="C520" s="3">
        <v>0.406944444444444</v>
      </c>
      <c r="D520" t="s">
        <v>499</v>
      </c>
      <c r="E520">
        <v>313.98</v>
      </c>
      <c r="F520" t="s">
        <v>29</v>
      </c>
      <c r="G520" t="s">
        <v>48</v>
      </c>
      <c r="H520" t="s">
        <v>6</v>
      </c>
      <c r="I520" t="s">
        <v>15</v>
      </c>
      <c r="J520" t="s">
        <v>24</v>
      </c>
      <c r="K520">
        <v>65</v>
      </c>
      <c r="L520" t="s">
        <v>49</v>
      </c>
      <c r="M520">
        <v>0</v>
      </c>
      <c r="N520">
        <f t="shared" si="35"/>
        <v>1</v>
      </c>
      <c r="P520" s="4">
        <f t="shared" si="32"/>
        <v>9</v>
      </c>
      <c r="Q520" s="4" t="str">
        <f t="shared" si="33"/>
        <v>Late Night</v>
      </c>
      <c r="R520" s="4" t="str">
        <f t="shared" si="34"/>
        <v>Low</v>
      </c>
    </row>
    <row r="521" spans="1:18">
      <c r="A521" t="s">
        <v>762</v>
      </c>
      <c r="B521" s="2">
        <v>46116</v>
      </c>
      <c r="C521" s="3">
        <v>0.432638888888889</v>
      </c>
      <c r="D521" t="s">
        <v>300</v>
      </c>
      <c r="E521">
        <v>73.06</v>
      </c>
      <c r="F521" t="s">
        <v>29</v>
      </c>
      <c r="G521" t="s">
        <v>48</v>
      </c>
      <c r="H521" t="s">
        <v>5</v>
      </c>
      <c r="I521" t="s">
        <v>14</v>
      </c>
      <c r="J521" t="s">
        <v>22</v>
      </c>
      <c r="K521">
        <v>55</v>
      </c>
      <c r="L521" t="s">
        <v>49</v>
      </c>
      <c r="M521">
        <v>0</v>
      </c>
      <c r="N521">
        <f t="shared" si="35"/>
        <v>1</v>
      </c>
      <c r="P521" s="4">
        <f t="shared" si="32"/>
        <v>10</v>
      </c>
      <c r="Q521" s="4" t="str">
        <f t="shared" si="33"/>
        <v>Late Night</v>
      </c>
      <c r="R521" s="4" t="str">
        <f t="shared" si="34"/>
        <v>Low</v>
      </c>
    </row>
    <row r="522" spans="1:18">
      <c r="A522" t="s">
        <v>763</v>
      </c>
      <c r="B522" s="2">
        <v>46116</v>
      </c>
      <c r="C522" s="3">
        <v>0.495138888888889</v>
      </c>
      <c r="D522" t="s">
        <v>153</v>
      </c>
      <c r="E522">
        <v>127.65</v>
      </c>
      <c r="F522" t="s">
        <v>31</v>
      </c>
      <c r="G522" t="s">
        <v>48</v>
      </c>
      <c r="H522" t="s">
        <v>7</v>
      </c>
      <c r="I522" t="s">
        <v>15</v>
      </c>
      <c r="J522" t="s">
        <v>20</v>
      </c>
      <c r="K522">
        <v>48</v>
      </c>
      <c r="L522" t="s">
        <v>49</v>
      </c>
      <c r="M522">
        <v>0</v>
      </c>
      <c r="N522">
        <f t="shared" si="35"/>
        <v>1</v>
      </c>
      <c r="P522" s="4">
        <f t="shared" si="32"/>
        <v>11</v>
      </c>
      <c r="Q522" s="4" t="str">
        <f t="shared" si="33"/>
        <v>Late Night</v>
      </c>
      <c r="R522" s="4" t="str">
        <f t="shared" si="34"/>
        <v>Low</v>
      </c>
    </row>
    <row r="523" spans="1:18">
      <c r="A523" t="s">
        <v>764</v>
      </c>
      <c r="B523" s="2">
        <v>46116</v>
      </c>
      <c r="C523" s="3">
        <v>0.514583333333333</v>
      </c>
      <c r="D523" t="s">
        <v>457</v>
      </c>
      <c r="E523">
        <v>1960.87</v>
      </c>
      <c r="F523" t="s">
        <v>28</v>
      </c>
      <c r="G523" t="s">
        <v>59</v>
      </c>
      <c r="H523" t="s">
        <v>6</v>
      </c>
      <c r="I523" t="s">
        <v>15</v>
      </c>
      <c r="J523" t="s">
        <v>23</v>
      </c>
      <c r="K523">
        <v>31</v>
      </c>
      <c r="L523" t="s">
        <v>49</v>
      </c>
      <c r="M523">
        <v>0</v>
      </c>
      <c r="N523">
        <f t="shared" si="35"/>
        <v>1</v>
      </c>
      <c r="P523" s="4">
        <f t="shared" si="32"/>
        <v>12</v>
      </c>
      <c r="Q523" s="4" t="str">
        <f t="shared" si="33"/>
        <v>Late Night</v>
      </c>
      <c r="R523" s="4" t="str">
        <f t="shared" si="34"/>
        <v>Medium</v>
      </c>
    </row>
    <row r="524" spans="1:18">
      <c r="A524" t="s">
        <v>765</v>
      </c>
      <c r="B524" s="2">
        <v>46117</v>
      </c>
      <c r="C524" s="3">
        <v>0.461111111111111</v>
      </c>
      <c r="D524" t="s">
        <v>766</v>
      </c>
      <c r="E524">
        <v>398.27</v>
      </c>
      <c r="F524" t="s">
        <v>28</v>
      </c>
      <c r="G524" t="s">
        <v>66</v>
      </c>
      <c r="H524" t="s">
        <v>5</v>
      </c>
      <c r="I524" t="s">
        <v>16</v>
      </c>
      <c r="J524" t="s">
        <v>19</v>
      </c>
      <c r="K524">
        <v>50</v>
      </c>
      <c r="L524" t="s">
        <v>49</v>
      </c>
      <c r="M524">
        <v>0</v>
      </c>
      <c r="N524">
        <f t="shared" si="35"/>
        <v>1</v>
      </c>
      <c r="P524" s="4">
        <f t="shared" si="32"/>
        <v>11</v>
      </c>
      <c r="Q524" s="4" t="str">
        <f t="shared" si="33"/>
        <v>Late Night</v>
      </c>
      <c r="R524" s="4" t="str">
        <f t="shared" si="34"/>
        <v>Low</v>
      </c>
    </row>
    <row r="525" spans="1:18">
      <c r="A525" t="s">
        <v>767</v>
      </c>
      <c r="B525" s="2">
        <v>46117</v>
      </c>
      <c r="C525" s="3">
        <v>0.579861111111111</v>
      </c>
      <c r="D525" t="s">
        <v>184</v>
      </c>
      <c r="E525">
        <v>146.78</v>
      </c>
      <c r="F525" t="s">
        <v>31</v>
      </c>
      <c r="G525" t="s">
        <v>59</v>
      </c>
      <c r="H525" t="s">
        <v>3</v>
      </c>
      <c r="I525" t="s">
        <v>15</v>
      </c>
      <c r="J525" t="s">
        <v>24</v>
      </c>
      <c r="K525">
        <v>26</v>
      </c>
      <c r="L525" t="s">
        <v>49</v>
      </c>
      <c r="M525">
        <v>0</v>
      </c>
      <c r="N525">
        <f t="shared" si="35"/>
        <v>1</v>
      </c>
      <c r="P525" s="4">
        <f t="shared" si="32"/>
        <v>13</v>
      </c>
      <c r="Q525" s="4" t="str">
        <f t="shared" si="33"/>
        <v>Late Night</v>
      </c>
      <c r="R525" s="4" t="str">
        <f t="shared" si="34"/>
        <v>Low</v>
      </c>
    </row>
    <row r="526" spans="1:18">
      <c r="A526" t="s">
        <v>768</v>
      </c>
      <c r="B526" s="2">
        <v>46117</v>
      </c>
      <c r="C526" s="3">
        <v>0.0638888888888889</v>
      </c>
      <c r="D526" t="s">
        <v>203</v>
      </c>
      <c r="E526">
        <v>160.59</v>
      </c>
      <c r="F526" t="s">
        <v>31</v>
      </c>
      <c r="G526" t="s">
        <v>48</v>
      </c>
      <c r="H526" t="s">
        <v>8</v>
      </c>
      <c r="I526" t="s">
        <v>15</v>
      </c>
      <c r="J526" t="s">
        <v>19</v>
      </c>
      <c r="K526">
        <v>44</v>
      </c>
      <c r="L526" t="s">
        <v>49</v>
      </c>
      <c r="M526">
        <v>0</v>
      </c>
      <c r="N526">
        <f t="shared" si="35"/>
        <v>1</v>
      </c>
      <c r="P526" s="4">
        <f t="shared" si="32"/>
        <v>1</v>
      </c>
      <c r="Q526" s="4" t="str">
        <f t="shared" si="33"/>
        <v>Late Night</v>
      </c>
      <c r="R526" s="4" t="str">
        <f t="shared" si="34"/>
        <v>Low</v>
      </c>
    </row>
    <row r="527" spans="1:18">
      <c r="A527" t="s">
        <v>769</v>
      </c>
      <c r="B527" s="2">
        <v>46117</v>
      </c>
      <c r="C527" s="3">
        <v>0.789583333333333</v>
      </c>
      <c r="D527" t="s">
        <v>75</v>
      </c>
      <c r="E527">
        <v>449.21</v>
      </c>
      <c r="F527" t="s">
        <v>29</v>
      </c>
      <c r="G527" t="s">
        <v>66</v>
      </c>
      <c r="H527" t="s">
        <v>7</v>
      </c>
      <c r="I527" t="s">
        <v>15</v>
      </c>
      <c r="J527" t="s">
        <v>24</v>
      </c>
      <c r="K527">
        <v>41</v>
      </c>
      <c r="L527" t="s">
        <v>49</v>
      </c>
      <c r="M527">
        <v>0</v>
      </c>
      <c r="N527">
        <f t="shared" si="35"/>
        <v>1</v>
      </c>
      <c r="P527" s="4">
        <f t="shared" si="32"/>
        <v>18</v>
      </c>
      <c r="Q527" s="4" t="str">
        <f t="shared" si="33"/>
        <v>Late Night</v>
      </c>
      <c r="R527" s="4" t="str">
        <f t="shared" si="34"/>
        <v>Low</v>
      </c>
    </row>
    <row r="528" spans="1:18">
      <c r="A528" t="s">
        <v>770</v>
      </c>
      <c r="B528" s="2">
        <v>46117</v>
      </c>
      <c r="C528" s="3">
        <v>0.732638888888889</v>
      </c>
      <c r="D528" t="s">
        <v>237</v>
      </c>
      <c r="E528">
        <v>351.73</v>
      </c>
      <c r="F528" t="s">
        <v>31</v>
      </c>
      <c r="G528" t="s">
        <v>59</v>
      </c>
      <c r="H528" t="s">
        <v>8</v>
      </c>
      <c r="I528" t="s">
        <v>16</v>
      </c>
      <c r="J528" t="s">
        <v>22</v>
      </c>
      <c r="K528">
        <v>30</v>
      </c>
      <c r="L528" t="s">
        <v>49</v>
      </c>
      <c r="M528">
        <v>0</v>
      </c>
      <c r="N528">
        <f t="shared" si="35"/>
        <v>1</v>
      </c>
      <c r="P528" s="4">
        <f t="shared" si="32"/>
        <v>17</v>
      </c>
      <c r="Q528" s="4" t="str">
        <f t="shared" si="33"/>
        <v>Late Night</v>
      </c>
      <c r="R528" s="4" t="str">
        <f t="shared" si="34"/>
        <v>Low</v>
      </c>
    </row>
    <row r="529" spans="1:18">
      <c r="A529" t="s">
        <v>771</v>
      </c>
      <c r="B529" s="2">
        <v>46117</v>
      </c>
      <c r="C529" s="3">
        <v>0.115277777777778</v>
      </c>
      <c r="D529" t="s">
        <v>123</v>
      </c>
      <c r="E529">
        <v>195.51</v>
      </c>
      <c r="F529" t="s">
        <v>28</v>
      </c>
      <c r="G529" t="s">
        <v>54</v>
      </c>
      <c r="H529" t="s">
        <v>3</v>
      </c>
      <c r="I529" t="s">
        <v>15</v>
      </c>
      <c r="J529" t="s">
        <v>21</v>
      </c>
      <c r="K529">
        <v>43</v>
      </c>
      <c r="L529" t="s">
        <v>49</v>
      </c>
      <c r="M529">
        <v>0</v>
      </c>
      <c r="N529">
        <f t="shared" si="35"/>
        <v>1</v>
      </c>
      <c r="P529" s="4">
        <f t="shared" si="32"/>
        <v>2</v>
      </c>
      <c r="Q529" s="4" t="str">
        <f t="shared" si="33"/>
        <v>Late Night</v>
      </c>
      <c r="R529" s="4" t="str">
        <f t="shared" si="34"/>
        <v>Low</v>
      </c>
    </row>
    <row r="530" spans="1:18">
      <c r="A530" t="s">
        <v>772</v>
      </c>
      <c r="B530" s="2">
        <v>46118</v>
      </c>
      <c r="C530" s="3">
        <v>0.929861111111111</v>
      </c>
      <c r="D530" t="s">
        <v>773</v>
      </c>
      <c r="E530">
        <v>201.05</v>
      </c>
      <c r="F530" t="s">
        <v>31</v>
      </c>
      <c r="G530" t="s">
        <v>59</v>
      </c>
      <c r="H530" t="s">
        <v>6</v>
      </c>
      <c r="I530" t="s">
        <v>15</v>
      </c>
      <c r="J530" t="s">
        <v>24</v>
      </c>
      <c r="K530">
        <v>46</v>
      </c>
      <c r="L530" t="s">
        <v>49</v>
      </c>
      <c r="M530">
        <v>0</v>
      </c>
      <c r="N530">
        <f t="shared" si="35"/>
        <v>1</v>
      </c>
      <c r="P530" s="4">
        <f t="shared" si="32"/>
        <v>22</v>
      </c>
      <c r="Q530" s="4" t="str">
        <f t="shared" si="33"/>
        <v>Late Night</v>
      </c>
      <c r="R530" s="4" t="str">
        <f t="shared" si="34"/>
        <v>Low</v>
      </c>
    </row>
    <row r="531" spans="1:18">
      <c r="A531" t="s">
        <v>774</v>
      </c>
      <c r="B531" s="2">
        <v>46118</v>
      </c>
      <c r="C531" s="3">
        <v>0.679166666666667</v>
      </c>
      <c r="D531" t="s">
        <v>266</v>
      </c>
      <c r="E531">
        <v>41.27</v>
      </c>
      <c r="F531" t="s">
        <v>31</v>
      </c>
      <c r="G531" t="s">
        <v>48</v>
      </c>
      <c r="H531" t="s">
        <v>7</v>
      </c>
      <c r="I531" t="s">
        <v>15</v>
      </c>
      <c r="J531" t="s">
        <v>21</v>
      </c>
      <c r="K531">
        <v>60</v>
      </c>
      <c r="L531" t="s">
        <v>49</v>
      </c>
      <c r="M531">
        <v>0</v>
      </c>
      <c r="N531">
        <f t="shared" si="35"/>
        <v>1</v>
      </c>
      <c r="P531" s="4">
        <f t="shared" si="32"/>
        <v>16</v>
      </c>
      <c r="Q531" s="4" t="str">
        <f t="shared" si="33"/>
        <v>Late Night</v>
      </c>
      <c r="R531" s="4" t="str">
        <f t="shared" si="34"/>
        <v>Low</v>
      </c>
    </row>
    <row r="532" spans="1:18">
      <c r="A532" t="s">
        <v>775</v>
      </c>
      <c r="B532" s="2">
        <v>46118</v>
      </c>
      <c r="C532" s="3">
        <v>0.315277777777778</v>
      </c>
      <c r="D532" t="s">
        <v>642</v>
      </c>
      <c r="E532">
        <v>33.45</v>
      </c>
      <c r="F532" t="s">
        <v>31</v>
      </c>
      <c r="G532" t="s">
        <v>54</v>
      </c>
      <c r="H532" t="s">
        <v>8</v>
      </c>
      <c r="I532" t="s">
        <v>15</v>
      </c>
      <c r="J532" t="s">
        <v>19</v>
      </c>
      <c r="K532">
        <v>45</v>
      </c>
      <c r="L532" t="s">
        <v>49</v>
      </c>
      <c r="M532">
        <v>0</v>
      </c>
      <c r="N532">
        <f t="shared" si="35"/>
        <v>1</v>
      </c>
      <c r="P532" s="4">
        <f t="shared" si="32"/>
        <v>7</v>
      </c>
      <c r="Q532" s="4" t="str">
        <f t="shared" si="33"/>
        <v>Late Night</v>
      </c>
      <c r="R532" s="4" t="str">
        <f t="shared" si="34"/>
        <v>Low</v>
      </c>
    </row>
    <row r="533" spans="1:18">
      <c r="A533" t="s">
        <v>776</v>
      </c>
      <c r="B533" s="2">
        <v>46118</v>
      </c>
      <c r="C533" s="3">
        <v>0.410416666666667</v>
      </c>
      <c r="D533" t="s">
        <v>232</v>
      </c>
      <c r="E533">
        <v>151.89</v>
      </c>
      <c r="F533" t="s">
        <v>32</v>
      </c>
      <c r="G533" t="s">
        <v>71</v>
      </c>
      <c r="H533" t="s">
        <v>9</v>
      </c>
      <c r="I533" t="s">
        <v>15</v>
      </c>
      <c r="J533" t="s">
        <v>24</v>
      </c>
      <c r="K533">
        <v>45</v>
      </c>
      <c r="L533" t="s">
        <v>49</v>
      </c>
      <c r="M533">
        <v>0</v>
      </c>
      <c r="N533">
        <f t="shared" si="35"/>
        <v>1</v>
      </c>
      <c r="P533" s="4">
        <f t="shared" si="32"/>
        <v>9</v>
      </c>
      <c r="Q533" s="4" t="str">
        <f t="shared" si="33"/>
        <v>Late Night</v>
      </c>
      <c r="R533" s="4" t="str">
        <f t="shared" si="34"/>
        <v>Low</v>
      </c>
    </row>
    <row r="534" spans="1:18">
      <c r="A534" t="s">
        <v>777</v>
      </c>
      <c r="B534" s="2">
        <v>46118</v>
      </c>
      <c r="C534" s="3">
        <v>0.0708333333333333</v>
      </c>
      <c r="D534" t="s">
        <v>260</v>
      </c>
      <c r="E534">
        <v>96.23</v>
      </c>
      <c r="F534" t="s">
        <v>30</v>
      </c>
      <c r="G534" t="s">
        <v>48</v>
      </c>
      <c r="H534" t="s">
        <v>8</v>
      </c>
      <c r="I534" t="s">
        <v>15</v>
      </c>
      <c r="J534" t="s">
        <v>22</v>
      </c>
      <c r="K534">
        <v>25</v>
      </c>
      <c r="L534" t="s">
        <v>49</v>
      </c>
      <c r="M534">
        <v>0</v>
      </c>
      <c r="N534">
        <f t="shared" si="35"/>
        <v>1</v>
      </c>
      <c r="P534" s="4">
        <f t="shared" si="32"/>
        <v>1</v>
      </c>
      <c r="Q534" s="4" t="str">
        <f t="shared" si="33"/>
        <v>Late Night</v>
      </c>
      <c r="R534" s="4" t="str">
        <f t="shared" si="34"/>
        <v>Low</v>
      </c>
    </row>
    <row r="535" spans="1:18">
      <c r="A535" t="s">
        <v>778</v>
      </c>
      <c r="B535" s="2">
        <v>46119</v>
      </c>
      <c r="C535" s="3">
        <v>0.761111111111111</v>
      </c>
      <c r="D535" t="s">
        <v>105</v>
      </c>
      <c r="E535">
        <v>325.73</v>
      </c>
      <c r="F535" t="s">
        <v>32</v>
      </c>
      <c r="G535" t="s">
        <v>54</v>
      </c>
      <c r="H535" t="s">
        <v>5</v>
      </c>
      <c r="I535" t="s">
        <v>16</v>
      </c>
      <c r="J535" t="s">
        <v>18</v>
      </c>
      <c r="K535">
        <v>40</v>
      </c>
      <c r="L535" t="s">
        <v>49</v>
      </c>
      <c r="M535">
        <v>0</v>
      </c>
      <c r="N535">
        <f t="shared" si="35"/>
        <v>1</v>
      </c>
      <c r="P535" s="4">
        <f t="shared" si="32"/>
        <v>18</v>
      </c>
      <c r="Q535" s="4" t="str">
        <f t="shared" si="33"/>
        <v>Late Night</v>
      </c>
      <c r="R535" s="4" t="str">
        <f t="shared" si="34"/>
        <v>Low</v>
      </c>
    </row>
    <row r="536" spans="1:18">
      <c r="A536" t="s">
        <v>779</v>
      </c>
      <c r="B536" s="2">
        <v>46119</v>
      </c>
      <c r="C536" s="3">
        <v>0.373611111111111</v>
      </c>
      <c r="D536" t="s">
        <v>630</v>
      </c>
      <c r="E536">
        <v>220.78</v>
      </c>
      <c r="F536" t="s">
        <v>28</v>
      </c>
      <c r="G536" t="s">
        <v>71</v>
      </c>
      <c r="H536" t="s">
        <v>6</v>
      </c>
      <c r="I536" t="s">
        <v>15</v>
      </c>
      <c r="J536" t="s">
        <v>22</v>
      </c>
      <c r="K536">
        <v>46</v>
      </c>
      <c r="L536" t="s">
        <v>49</v>
      </c>
      <c r="M536">
        <v>0</v>
      </c>
      <c r="N536">
        <f t="shared" si="35"/>
        <v>1</v>
      </c>
      <c r="P536" s="4">
        <f t="shared" si="32"/>
        <v>8</v>
      </c>
      <c r="Q536" s="4" t="str">
        <f t="shared" si="33"/>
        <v>Late Night</v>
      </c>
      <c r="R536" s="4" t="str">
        <f t="shared" si="34"/>
        <v>Low</v>
      </c>
    </row>
    <row r="537" spans="1:18">
      <c r="A537" t="s">
        <v>780</v>
      </c>
      <c r="B537" s="2">
        <v>46119</v>
      </c>
      <c r="C537" s="3">
        <v>0.280555555555556</v>
      </c>
      <c r="D537" t="s">
        <v>151</v>
      </c>
      <c r="E537">
        <v>83.7</v>
      </c>
      <c r="F537" t="s">
        <v>31</v>
      </c>
      <c r="G537" t="s">
        <v>59</v>
      </c>
      <c r="H537" t="s">
        <v>4</v>
      </c>
      <c r="I537" t="s">
        <v>15</v>
      </c>
      <c r="J537" t="s">
        <v>22</v>
      </c>
      <c r="K537">
        <v>22</v>
      </c>
      <c r="L537" t="s">
        <v>49</v>
      </c>
      <c r="M537">
        <v>0</v>
      </c>
      <c r="N537">
        <f t="shared" si="35"/>
        <v>1</v>
      </c>
      <c r="P537" s="4">
        <f t="shared" si="32"/>
        <v>6</v>
      </c>
      <c r="Q537" s="4" t="str">
        <f t="shared" si="33"/>
        <v>Late Night</v>
      </c>
      <c r="R537" s="4" t="str">
        <f t="shared" si="34"/>
        <v>Low</v>
      </c>
    </row>
    <row r="538" spans="1:18">
      <c r="A538" t="s">
        <v>781</v>
      </c>
      <c r="B538" s="2">
        <v>46119</v>
      </c>
      <c r="C538" s="3">
        <v>0.154166666666667</v>
      </c>
      <c r="D538" t="s">
        <v>427</v>
      </c>
      <c r="E538">
        <v>213.41</v>
      </c>
      <c r="F538" t="s">
        <v>28</v>
      </c>
      <c r="G538" t="s">
        <v>48</v>
      </c>
      <c r="H538" t="s">
        <v>8</v>
      </c>
      <c r="I538" t="s">
        <v>15</v>
      </c>
      <c r="J538" t="s">
        <v>18</v>
      </c>
      <c r="K538">
        <v>59</v>
      </c>
      <c r="L538" t="s">
        <v>49</v>
      </c>
      <c r="M538">
        <v>0</v>
      </c>
      <c r="N538">
        <f t="shared" si="35"/>
        <v>1</v>
      </c>
      <c r="P538" s="4">
        <f t="shared" si="32"/>
        <v>3</v>
      </c>
      <c r="Q538" s="4" t="str">
        <f t="shared" si="33"/>
        <v>Late Night</v>
      </c>
      <c r="R538" s="4" t="str">
        <f t="shared" si="34"/>
        <v>Low</v>
      </c>
    </row>
    <row r="539" spans="1:18">
      <c r="A539" t="s">
        <v>782</v>
      </c>
      <c r="B539" s="2">
        <v>46119</v>
      </c>
      <c r="C539" s="3">
        <v>0.85625</v>
      </c>
      <c r="D539" t="s">
        <v>783</v>
      </c>
      <c r="E539">
        <v>119.32</v>
      </c>
      <c r="F539" t="s">
        <v>28</v>
      </c>
      <c r="G539" t="s">
        <v>48</v>
      </c>
      <c r="H539" t="s">
        <v>7</v>
      </c>
      <c r="I539" t="s">
        <v>15</v>
      </c>
      <c r="J539" t="s">
        <v>18</v>
      </c>
      <c r="K539">
        <v>24</v>
      </c>
      <c r="L539" t="s">
        <v>49</v>
      </c>
      <c r="M539">
        <v>0</v>
      </c>
      <c r="N539">
        <f t="shared" si="35"/>
        <v>1</v>
      </c>
      <c r="P539" s="4">
        <f t="shared" si="32"/>
        <v>20</v>
      </c>
      <c r="Q539" s="4" t="str">
        <f t="shared" si="33"/>
        <v>Late Night</v>
      </c>
      <c r="R539" s="4" t="str">
        <f t="shared" si="34"/>
        <v>Low</v>
      </c>
    </row>
    <row r="540" spans="1:18">
      <c r="A540" t="s">
        <v>784</v>
      </c>
      <c r="B540" s="2">
        <v>46119</v>
      </c>
      <c r="C540" s="3">
        <v>0.713888888888889</v>
      </c>
      <c r="D540" t="s">
        <v>257</v>
      </c>
      <c r="E540">
        <v>1431.68</v>
      </c>
      <c r="F540" t="s">
        <v>30</v>
      </c>
      <c r="G540" t="s">
        <v>48</v>
      </c>
      <c r="H540" t="s">
        <v>7</v>
      </c>
      <c r="I540" t="s">
        <v>14</v>
      </c>
      <c r="J540" t="s">
        <v>23</v>
      </c>
      <c r="K540">
        <v>59</v>
      </c>
      <c r="L540" t="s">
        <v>49</v>
      </c>
      <c r="M540">
        <v>0</v>
      </c>
      <c r="N540">
        <f t="shared" si="35"/>
        <v>1</v>
      </c>
      <c r="P540" s="4">
        <f t="shared" si="32"/>
        <v>17</v>
      </c>
      <c r="Q540" s="4" t="str">
        <f t="shared" si="33"/>
        <v>Late Night</v>
      </c>
      <c r="R540" s="4" t="str">
        <f t="shared" si="34"/>
        <v>Medium</v>
      </c>
    </row>
    <row r="541" spans="1:18">
      <c r="A541" t="s">
        <v>785</v>
      </c>
      <c r="B541" s="2">
        <v>46120</v>
      </c>
      <c r="C541" s="3">
        <v>0.517361111111111</v>
      </c>
      <c r="D541" t="s">
        <v>174</v>
      </c>
      <c r="E541">
        <v>266.73</v>
      </c>
      <c r="F541" t="s">
        <v>31</v>
      </c>
      <c r="G541" t="s">
        <v>59</v>
      </c>
      <c r="H541" t="s">
        <v>10</v>
      </c>
      <c r="I541" t="s">
        <v>15</v>
      </c>
      <c r="J541" t="s">
        <v>24</v>
      </c>
      <c r="K541">
        <v>53</v>
      </c>
      <c r="L541" t="s">
        <v>49</v>
      </c>
      <c r="M541">
        <v>0</v>
      </c>
      <c r="N541">
        <f t="shared" si="35"/>
        <v>1</v>
      </c>
      <c r="P541" s="4">
        <f t="shared" si="32"/>
        <v>12</v>
      </c>
      <c r="Q541" s="4" t="str">
        <f t="shared" si="33"/>
        <v>Late Night</v>
      </c>
      <c r="R541" s="4" t="str">
        <f t="shared" si="34"/>
        <v>Low</v>
      </c>
    </row>
    <row r="542" spans="1:18">
      <c r="A542" t="s">
        <v>786</v>
      </c>
      <c r="B542" s="2">
        <v>46120</v>
      </c>
      <c r="C542" s="3">
        <v>0.417361111111111</v>
      </c>
      <c r="D542" t="s">
        <v>87</v>
      </c>
      <c r="E542">
        <v>38.07</v>
      </c>
      <c r="F542" t="s">
        <v>28</v>
      </c>
      <c r="G542" t="s">
        <v>54</v>
      </c>
      <c r="H542" t="s">
        <v>8</v>
      </c>
      <c r="I542" t="s">
        <v>15</v>
      </c>
      <c r="J542" t="s">
        <v>19</v>
      </c>
      <c r="K542">
        <v>58</v>
      </c>
      <c r="L542" t="s">
        <v>49</v>
      </c>
      <c r="M542">
        <v>0</v>
      </c>
      <c r="N542">
        <f t="shared" si="35"/>
        <v>1</v>
      </c>
      <c r="P542" s="4">
        <f t="shared" si="32"/>
        <v>10</v>
      </c>
      <c r="Q542" s="4" t="str">
        <f t="shared" si="33"/>
        <v>Late Night</v>
      </c>
      <c r="R542" s="4" t="str">
        <f t="shared" si="34"/>
        <v>Low</v>
      </c>
    </row>
    <row r="543" spans="1:18">
      <c r="A543" t="s">
        <v>787</v>
      </c>
      <c r="B543" s="2">
        <v>46120</v>
      </c>
      <c r="C543" s="3">
        <v>0.994444444444444</v>
      </c>
      <c r="D543" t="s">
        <v>284</v>
      </c>
      <c r="E543">
        <v>1119.36</v>
      </c>
      <c r="F543" t="s">
        <v>31</v>
      </c>
      <c r="G543" t="s">
        <v>48</v>
      </c>
      <c r="H543" t="s">
        <v>6</v>
      </c>
      <c r="I543" t="s">
        <v>15</v>
      </c>
      <c r="J543" t="s">
        <v>23</v>
      </c>
      <c r="K543">
        <v>44</v>
      </c>
      <c r="L543" t="s">
        <v>49</v>
      </c>
      <c r="M543">
        <v>0</v>
      </c>
      <c r="N543">
        <f t="shared" si="35"/>
        <v>1</v>
      </c>
      <c r="P543" s="4">
        <f t="shared" si="32"/>
        <v>23</v>
      </c>
      <c r="Q543" s="4" t="str">
        <f t="shared" si="33"/>
        <v>Late Night</v>
      </c>
      <c r="R543" s="4" t="str">
        <f t="shared" si="34"/>
        <v>Medium</v>
      </c>
    </row>
    <row r="544" spans="1:18">
      <c r="A544" t="s">
        <v>788</v>
      </c>
      <c r="B544" s="2">
        <v>46120</v>
      </c>
      <c r="C544" s="3">
        <v>0.130555555555556</v>
      </c>
      <c r="D544" t="s">
        <v>584</v>
      </c>
      <c r="E544">
        <v>96.24</v>
      </c>
      <c r="F544" t="s">
        <v>31</v>
      </c>
      <c r="G544" t="s">
        <v>71</v>
      </c>
      <c r="H544" t="s">
        <v>6</v>
      </c>
      <c r="I544" t="s">
        <v>15</v>
      </c>
      <c r="J544" t="s">
        <v>18</v>
      </c>
      <c r="K544">
        <v>63</v>
      </c>
      <c r="L544" t="s">
        <v>49</v>
      </c>
      <c r="M544">
        <v>0</v>
      </c>
      <c r="N544">
        <f t="shared" si="35"/>
        <v>1</v>
      </c>
      <c r="P544" s="4">
        <f t="shared" si="32"/>
        <v>3</v>
      </c>
      <c r="Q544" s="4" t="str">
        <f t="shared" si="33"/>
        <v>Late Night</v>
      </c>
      <c r="R544" s="4" t="str">
        <f t="shared" si="34"/>
        <v>Low</v>
      </c>
    </row>
    <row r="545" spans="1:18">
      <c r="A545" t="s">
        <v>789</v>
      </c>
      <c r="B545" s="2">
        <v>46120</v>
      </c>
      <c r="C545" s="3">
        <v>0.838888888888889</v>
      </c>
      <c r="D545" t="s">
        <v>216</v>
      </c>
      <c r="E545">
        <v>68.39</v>
      </c>
      <c r="F545" t="s">
        <v>29</v>
      </c>
      <c r="G545" t="s">
        <v>59</v>
      </c>
      <c r="H545" t="s">
        <v>3</v>
      </c>
      <c r="I545" t="s">
        <v>15</v>
      </c>
      <c r="J545" t="s">
        <v>21</v>
      </c>
      <c r="K545">
        <v>19</v>
      </c>
      <c r="L545" t="s">
        <v>49</v>
      </c>
      <c r="M545">
        <v>0</v>
      </c>
      <c r="N545">
        <f t="shared" si="35"/>
        <v>1</v>
      </c>
      <c r="P545" s="4">
        <f t="shared" si="32"/>
        <v>20</v>
      </c>
      <c r="Q545" s="4" t="str">
        <f t="shared" si="33"/>
        <v>Late Night</v>
      </c>
      <c r="R545" s="4" t="str">
        <f t="shared" si="34"/>
        <v>Low</v>
      </c>
    </row>
    <row r="546" spans="1:18">
      <c r="A546" t="s">
        <v>790</v>
      </c>
      <c r="B546" s="2">
        <v>46121</v>
      </c>
      <c r="C546" s="3">
        <v>0.152083333333333</v>
      </c>
      <c r="D546" t="s">
        <v>137</v>
      </c>
      <c r="E546">
        <v>1546.4</v>
      </c>
      <c r="F546" t="s">
        <v>28</v>
      </c>
      <c r="G546" t="s">
        <v>48</v>
      </c>
      <c r="H546" t="s">
        <v>10</v>
      </c>
      <c r="I546" t="s">
        <v>15</v>
      </c>
      <c r="J546" t="s">
        <v>19</v>
      </c>
      <c r="K546">
        <v>42</v>
      </c>
      <c r="L546" t="s">
        <v>85</v>
      </c>
      <c r="M546">
        <v>1</v>
      </c>
      <c r="N546">
        <f t="shared" si="35"/>
        <v>1</v>
      </c>
      <c r="P546" s="4">
        <f t="shared" si="32"/>
        <v>3</v>
      </c>
      <c r="Q546" s="4" t="str">
        <f t="shared" si="33"/>
        <v>Late Night</v>
      </c>
      <c r="R546" s="4" t="str">
        <f t="shared" si="34"/>
        <v>Medium</v>
      </c>
    </row>
    <row r="547" spans="1:18">
      <c r="A547" t="s">
        <v>791</v>
      </c>
      <c r="B547" s="2">
        <v>46121</v>
      </c>
      <c r="C547" s="3">
        <v>0.386111111111111</v>
      </c>
      <c r="D547" t="s">
        <v>609</v>
      </c>
      <c r="E547">
        <v>256.17</v>
      </c>
      <c r="F547" t="s">
        <v>31</v>
      </c>
      <c r="G547" t="s">
        <v>54</v>
      </c>
      <c r="H547" t="s">
        <v>8</v>
      </c>
      <c r="I547" t="s">
        <v>14</v>
      </c>
      <c r="J547" t="s">
        <v>21</v>
      </c>
      <c r="K547">
        <v>26</v>
      </c>
      <c r="L547" t="s">
        <v>85</v>
      </c>
      <c r="M547">
        <v>1</v>
      </c>
      <c r="N547">
        <f t="shared" si="35"/>
        <v>1</v>
      </c>
      <c r="P547" s="4">
        <f t="shared" si="32"/>
        <v>9</v>
      </c>
      <c r="Q547" s="4" t="str">
        <f t="shared" si="33"/>
        <v>Late Night</v>
      </c>
      <c r="R547" s="4" t="str">
        <f t="shared" si="34"/>
        <v>Low</v>
      </c>
    </row>
    <row r="548" spans="1:18">
      <c r="A548" t="s">
        <v>792</v>
      </c>
      <c r="B548" s="2">
        <v>46121</v>
      </c>
      <c r="C548" s="3">
        <v>0.166666666666667</v>
      </c>
      <c r="D548" t="s">
        <v>651</v>
      </c>
      <c r="E548">
        <v>365.32</v>
      </c>
      <c r="F548" t="s">
        <v>31</v>
      </c>
      <c r="G548" t="s">
        <v>59</v>
      </c>
      <c r="H548" t="s">
        <v>9</v>
      </c>
      <c r="I548" t="s">
        <v>16</v>
      </c>
      <c r="J548" t="s">
        <v>22</v>
      </c>
      <c r="K548">
        <v>44</v>
      </c>
      <c r="L548" t="s">
        <v>49</v>
      </c>
      <c r="M548">
        <v>1</v>
      </c>
      <c r="N548">
        <f t="shared" si="35"/>
        <v>1</v>
      </c>
      <c r="P548" s="4">
        <f t="shared" si="32"/>
        <v>4</v>
      </c>
      <c r="Q548" s="4" t="str">
        <f t="shared" si="33"/>
        <v>Late Night</v>
      </c>
      <c r="R548" s="4" t="str">
        <f t="shared" si="34"/>
        <v>Low</v>
      </c>
    </row>
    <row r="549" spans="1:18">
      <c r="A549" t="s">
        <v>793</v>
      </c>
      <c r="B549" s="2">
        <v>46121</v>
      </c>
      <c r="C549" s="3">
        <v>0.35</v>
      </c>
      <c r="D549" t="s">
        <v>349</v>
      </c>
      <c r="E549">
        <v>377.31</v>
      </c>
      <c r="F549" t="s">
        <v>28</v>
      </c>
      <c r="G549" t="s">
        <v>48</v>
      </c>
      <c r="H549" t="s">
        <v>3</v>
      </c>
      <c r="I549" t="s">
        <v>15</v>
      </c>
      <c r="J549" t="s">
        <v>20</v>
      </c>
      <c r="K549">
        <v>18</v>
      </c>
      <c r="L549" t="s">
        <v>49</v>
      </c>
      <c r="M549">
        <v>0</v>
      </c>
      <c r="N549">
        <f t="shared" si="35"/>
        <v>1</v>
      </c>
      <c r="P549" s="4">
        <f t="shared" si="32"/>
        <v>8</v>
      </c>
      <c r="Q549" s="4" t="str">
        <f t="shared" si="33"/>
        <v>Late Night</v>
      </c>
      <c r="R549" s="4" t="str">
        <f t="shared" si="34"/>
        <v>Low</v>
      </c>
    </row>
    <row r="550" spans="1:18">
      <c r="A550" t="s">
        <v>794</v>
      </c>
      <c r="B550" s="2">
        <v>46121</v>
      </c>
      <c r="C550" s="3">
        <v>0.9875</v>
      </c>
      <c r="D550" t="s">
        <v>264</v>
      </c>
      <c r="E550">
        <v>147.53</v>
      </c>
      <c r="F550" t="s">
        <v>29</v>
      </c>
      <c r="G550" t="s">
        <v>48</v>
      </c>
      <c r="H550" t="s">
        <v>10</v>
      </c>
      <c r="I550" t="s">
        <v>16</v>
      </c>
      <c r="J550" t="s">
        <v>22</v>
      </c>
      <c r="K550">
        <v>40</v>
      </c>
      <c r="L550" t="s">
        <v>49</v>
      </c>
      <c r="M550">
        <v>0</v>
      </c>
      <c r="N550">
        <f t="shared" si="35"/>
        <v>1</v>
      </c>
      <c r="P550" s="4">
        <f t="shared" si="32"/>
        <v>23</v>
      </c>
      <c r="Q550" s="4" t="str">
        <f t="shared" si="33"/>
        <v>Late Night</v>
      </c>
      <c r="R550" s="4" t="str">
        <f t="shared" si="34"/>
        <v>Low</v>
      </c>
    </row>
    <row r="551" spans="1:18">
      <c r="A551" t="s">
        <v>795</v>
      </c>
      <c r="B551" s="2">
        <v>46121</v>
      </c>
      <c r="C551" s="3">
        <v>0.110416666666667</v>
      </c>
      <c r="D551" t="s">
        <v>596</v>
      </c>
      <c r="E551">
        <v>102.27</v>
      </c>
      <c r="F551" t="s">
        <v>30</v>
      </c>
      <c r="G551" t="s">
        <v>66</v>
      </c>
      <c r="H551" t="s">
        <v>8</v>
      </c>
      <c r="I551" t="s">
        <v>15</v>
      </c>
      <c r="J551" t="s">
        <v>22</v>
      </c>
      <c r="K551">
        <v>27</v>
      </c>
      <c r="L551" t="s">
        <v>49</v>
      </c>
      <c r="M551">
        <v>0</v>
      </c>
      <c r="N551">
        <f t="shared" si="35"/>
        <v>1</v>
      </c>
      <c r="P551" s="4">
        <f t="shared" si="32"/>
        <v>2</v>
      </c>
      <c r="Q551" s="4" t="str">
        <f t="shared" si="33"/>
        <v>Late Night</v>
      </c>
      <c r="R551" s="4" t="str">
        <f t="shared" si="34"/>
        <v>Low</v>
      </c>
    </row>
    <row r="552" spans="1:18">
      <c r="A552" t="s">
        <v>796</v>
      </c>
      <c r="B552" s="2">
        <v>46122</v>
      </c>
      <c r="C552" s="3">
        <v>0.695138888888889</v>
      </c>
      <c r="D552" t="s">
        <v>125</v>
      </c>
      <c r="E552">
        <v>120.39</v>
      </c>
      <c r="F552" t="s">
        <v>32</v>
      </c>
      <c r="G552" t="s">
        <v>54</v>
      </c>
      <c r="H552" t="s">
        <v>8</v>
      </c>
      <c r="I552" t="s">
        <v>15</v>
      </c>
      <c r="J552" t="s">
        <v>20</v>
      </c>
      <c r="K552">
        <v>59</v>
      </c>
      <c r="L552" t="s">
        <v>49</v>
      </c>
      <c r="M552">
        <v>0</v>
      </c>
      <c r="N552">
        <f t="shared" si="35"/>
        <v>1</v>
      </c>
      <c r="P552" s="4">
        <f t="shared" si="32"/>
        <v>16</v>
      </c>
      <c r="Q552" s="4" t="str">
        <f t="shared" si="33"/>
        <v>Late Night</v>
      </c>
      <c r="R552" s="4" t="str">
        <f t="shared" si="34"/>
        <v>Low</v>
      </c>
    </row>
    <row r="553" spans="1:18">
      <c r="A553" t="s">
        <v>797</v>
      </c>
      <c r="B553" s="2">
        <v>46122</v>
      </c>
      <c r="C553" s="3">
        <v>0.1</v>
      </c>
      <c r="D553" t="s">
        <v>228</v>
      </c>
      <c r="E553">
        <v>905.84</v>
      </c>
      <c r="F553" t="s">
        <v>29</v>
      </c>
      <c r="G553" t="s">
        <v>59</v>
      </c>
      <c r="H553" t="s">
        <v>3</v>
      </c>
      <c r="I553" t="s">
        <v>15</v>
      </c>
      <c r="J553" t="s">
        <v>24</v>
      </c>
      <c r="K553">
        <v>42</v>
      </c>
      <c r="L553" t="s">
        <v>49</v>
      </c>
      <c r="M553">
        <v>1</v>
      </c>
      <c r="N553">
        <f t="shared" si="35"/>
        <v>1</v>
      </c>
      <c r="P553" s="4">
        <f t="shared" si="32"/>
        <v>2</v>
      </c>
      <c r="Q553" s="4" t="str">
        <f t="shared" si="33"/>
        <v>Late Night</v>
      </c>
      <c r="R553" s="4" t="str">
        <f t="shared" si="34"/>
        <v>Low</v>
      </c>
    </row>
    <row r="554" spans="1:18">
      <c r="A554" t="s">
        <v>798</v>
      </c>
      <c r="B554" s="2">
        <v>46122</v>
      </c>
      <c r="C554" s="3">
        <v>0.651388888888889</v>
      </c>
      <c r="D554" t="s">
        <v>430</v>
      </c>
      <c r="E554">
        <v>222.25</v>
      </c>
      <c r="F554" t="s">
        <v>31</v>
      </c>
      <c r="G554" t="s">
        <v>54</v>
      </c>
      <c r="H554" t="s">
        <v>9</v>
      </c>
      <c r="I554" t="s">
        <v>15</v>
      </c>
      <c r="J554" t="s">
        <v>18</v>
      </c>
      <c r="K554">
        <v>20</v>
      </c>
      <c r="L554" t="s">
        <v>159</v>
      </c>
      <c r="M554">
        <v>0</v>
      </c>
      <c r="N554">
        <f t="shared" si="35"/>
        <v>1</v>
      </c>
      <c r="P554" s="4">
        <f t="shared" si="32"/>
        <v>15</v>
      </c>
      <c r="Q554" s="4" t="str">
        <f t="shared" si="33"/>
        <v>Late Night</v>
      </c>
      <c r="R554" s="4" t="str">
        <f t="shared" si="34"/>
        <v>Low</v>
      </c>
    </row>
    <row r="555" spans="1:18">
      <c r="A555" t="s">
        <v>799</v>
      </c>
      <c r="B555" s="2">
        <v>46122</v>
      </c>
      <c r="C555" s="3">
        <v>0.148611111111111</v>
      </c>
      <c r="D555" t="s">
        <v>328</v>
      </c>
      <c r="E555">
        <v>673.79</v>
      </c>
      <c r="F555" t="s">
        <v>29</v>
      </c>
      <c r="G555" t="s">
        <v>48</v>
      </c>
      <c r="H555" t="s">
        <v>10</v>
      </c>
      <c r="I555" t="s">
        <v>15</v>
      </c>
      <c r="J555" t="s">
        <v>21</v>
      </c>
      <c r="K555">
        <v>23</v>
      </c>
      <c r="L555" t="s">
        <v>49</v>
      </c>
      <c r="M555">
        <v>0</v>
      </c>
      <c r="N555">
        <f t="shared" si="35"/>
        <v>1</v>
      </c>
      <c r="P555" s="4">
        <f t="shared" si="32"/>
        <v>3</v>
      </c>
      <c r="Q555" s="4" t="str">
        <f t="shared" si="33"/>
        <v>Late Night</v>
      </c>
      <c r="R555" s="4" t="str">
        <f t="shared" si="34"/>
        <v>Low</v>
      </c>
    </row>
    <row r="556" spans="1:18">
      <c r="A556" t="s">
        <v>800</v>
      </c>
      <c r="B556" s="2">
        <v>46122</v>
      </c>
      <c r="C556" s="3">
        <v>0.709722222222222</v>
      </c>
      <c r="D556" t="s">
        <v>247</v>
      </c>
      <c r="E556">
        <v>167.93</v>
      </c>
      <c r="F556" t="s">
        <v>28</v>
      </c>
      <c r="G556" t="s">
        <v>48</v>
      </c>
      <c r="H556" t="s">
        <v>8</v>
      </c>
      <c r="I556" t="s">
        <v>15</v>
      </c>
      <c r="J556" t="s">
        <v>22</v>
      </c>
      <c r="K556">
        <v>23</v>
      </c>
      <c r="L556" t="s">
        <v>49</v>
      </c>
      <c r="M556">
        <v>0</v>
      </c>
      <c r="N556">
        <f t="shared" si="35"/>
        <v>1</v>
      </c>
      <c r="P556" s="4">
        <f t="shared" si="32"/>
        <v>17</v>
      </c>
      <c r="Q556" s="4" t="str">
        <f t="shared" si="33"/>
        <v>Late Night</v>
      </c>
      <c r="R556" s="4" t="str">
        <f t="shared" si="34"/>
        <v>Low</v>
      </c>
    </row>
    <row r="557" spans="1:18">
      <c r="A557" t="s">
        <v>801</v>
      </c>
      <c r="B557" s="2">
        <v>46123</v>
      </c>
      <c r="C557" s="3">
        <v>0.700694444444444</v>
      </c>
      <c r="D557" t="s">
        <v>180</v>
      </c>
      <c r="E557">
        <v>85.17</v>
      </c>
      <c r="F557" t="s">
        <v>31</v>
      </c>
      <c r="G557" t="s">
        <v>54</v>
      </c>
      <c r="H557" t="s">
        <v>8</v>
      </c>
      <c r="I557" t="s">
        <v>15</v>
      </c>
      <c r="J557" t="s">
        <v>20</v>
      </c>
      <c r="K557">
        <v>19</v>
      </c>
      <c r="L557" t="s">
        <v>49</v>
      </c>
      <c r="M557">
        <v>0</v>
      </c>
      <c r="N557">
        <f t="shared" si="35"/>
        <v>1</v>
      </c>
      <c r="P557" s="4">
        <f t="shared" si="32"/>
        <v>16</v>
      </c>
      <c r="Q557" s="4" t="str">
        <f t="shared" si="33"/>
        <v>Late Night</v>
      </c>
      <c r="R557" s="4" t="str">
        <f t="shared" si="34"/>
        <v>Low</v>
      </c>
    </row>
    <row r="558" spans="1:18">
      <c r="A558" t="s">
        <v>802</v>
      </c>
      <c r="B558" s="2">
        <v>46123</v>
      </c>
      <c r="C558" s="3">
        <v>0.275</v>
      </c>
      <c r="D558" t="s">
        <v>91</v>
      </c>
      <c r="E558">
        <v>42.85</v>
      </c>
      <c r="F558" t="s">
        <v>30</v>
      </c>
      <c r="G558" t="s">
        <v>48</v>
      </c>
      <c r="H558" t="s">
        <v>10</v>
      </c>
      <c r="I558" t="s">
        <v>15</v>
      </c>
      <c r="J558" t="s">
        <v>23</v>
      </c>
      <c r="K558">
        <v>35</v>
      </c>
      <c r="L558" t="s">
        <v>49</v>
      </c>
      <c r="M558">
        <v>0</v>
      </c>
      <c r="N558">
        <f t="shared" si="35"/>
        <v>1</v>
      </c>
      <c r="P558" s="4">
        <f t="shared" si="32"/>
        <v>6</v>
      </c>
      <c r="Q558" s="4" t="str">
        <f t="shared" si="33"/>
        <v>Late Night</v>
      </c>
      <c r="R558" s="4" t="str">
        <f t="shared" si="34"/>
        <v>Low</v>
      </c>
    </row>
    <row r="559" spans="1:18">
      <c r="A559" t="s">
        <v>803</v>
      </c>
      <c r="B559" s="2">
        <v>46123</v>
      </c>
      <c r="C559" s="3">
        <v>0.988194444444444</v>
      </c>
      <c r="D559" t="s">
        <v>112</v>
      </c>
      <c r="E559">
        <v>346.54</v>
      </c>
      <c r="F559" t="s">
        <v>31</v>
      </c>
      <c r="G559" t="s">
        <v>48</v>
      </c>
      <c r="H559" t="s">
        <v>4</v>
      </c>
      <c r="I559" t="s">
        <v>15</v>
      </c>
      <c r="J559" t="s">
        <v>22</v>
      </c>
      <c r="K559">
        <v>40</v>
      </c>
      <c r="L559" t="s">
        <v>85</v>
      </c>
      <c r="M559">
        <v>1</v>
      </c>
      <c r="N559">
        <f t="shared" si="35"/>
        <v>1</v>
      </c>
      <c r="P559" s="4">
        <f t="shared" si="32"/>
        <v>23</v>
      </c>
      <c r="Q559" s="4" t="str">
        <f t="shared" si="33"/>
        <v>Late Night</v>
      </c>
      <c r="R559" s="4" t="str">
        <f t="shared" si="34"/>
        <v>Low</v>
      </c>
    </row>
    <row r="560" spans="1:18">
      <c r="A560" t="s">
        <v>804</v>
      </c>
      <c r="B560" s="2">
        <v>46123</v>
      </c>
      <c r="C560" s="3">
        <v>0.946527777777778</v>
      </c>
      <c r="D560" t="s">
        <v>190</v>
      </c>
      <c r="E560">
        <v>986.44</v>
      </c>
      <c r="F560" t="s">
        <v>30</v>
      </c>
      <c r="G560" t="s">
        <v>66</v>
      </c>
      <c r="H560" t="s">
        <v>3</v>
      </c>
      <c r="I560" t="s">
        <v>14</v>
      </c>
      <c r="J560" t="s">
        <v>21</v>
      </c>
      <c r="K560">
        <v>19</v>
      </c>
      <c r="L560" t="s">
        <v>49</v>
      </c>
      <c r="M560">
        <v>0</v>
      </c>
      <c r="N560">
        <f t="shared" si="35"/>
        <v>1</v>
      </c>
      <c r="P560" s="4">
        <f t="shared" si="32"/>
        <v>22</v>
      </c>
      <c r="Q560" s="4" t="str">
        <f t="shared" si="33"/>
        <v>Late Night</v>
      </c>
      <c r="R560" s="4" t="str">
        <f t="shared" si="34"/>
        <v>Low</v>
      </c>
    </row>
    <row r="561" spans="1:18">
      <c r="A561" t="s">
        <v>805</v>
      </c>
      <c r="B561" s="2">
        <v>46123</v>
      </c>
      <c r="C561" s="3">
        <v>0.201388888888889</v>
      </c>
      <c r="D561" t="s">
        <v>630</v>
      </c>
      <c r="E561">
        <v>74.74</v>
      </c>
      <c r="F561" t="s">
        <v>28</v>
      </c>
      <c r="G561" t="s">
        <v>71</v>
      </c>
      <c r="H561" t="s">
        <v>3</v>
      </c>
      <c r="I561" t="s">
        <v>15</v>
      </c>
      <c r="J561" t="s">
        <v>18</v>
      </c>
      <c r="K561">
        <v>29</v>
      </c>
      <c r="L561" t="s">
        <v>49</v>
      </c>
      <c r="M561">
        <v>0</v>
      </c>
      <c r="N561">
        <f t="shared" si="35"/>
        <v>1</v>
      </c>
      <c r="P561" s="4">
        <f t="shared" si="32"/>
        <v>4</v>
      </c>
      <c r="Q561" s="4" t="str">
        <f t="shared" si="33"/>
        <v>Late Night</v>
      </c>
      <c r="R561" s="4" t="str">
        <f t="shared" si="34"/>
        <v>Low</v>
      </c>
    </row>
    <row r="562" spans="1:18">
      <c r="A562" t="s">
        <v>806</v>
      </c>
      <c r="B562" s="2">
        <v>46123</v>
      </c>
      <c r="C562" s="3">
        <v>0.478472222222222</v>
      </c>
      <c r="D562" t="s">
        <v>630</v>
      </c>
      <c r="E562">
        <v>302.89</v>
      </c>
      <c r="F562" t="s">
        <v>29</v>
      </c>
      <c r="G562" t="s">
        <v>66</v>
      </c>
      <c r="H562" t="s">
        <v>7</v>
      </c>
      <c r="I562" t="s">
        <v>15</v>
      </c>
      <c r="J562" t="s">
        <v>22</v>
      </c>
      <c r="K562">
        <v>39</v>
      </c>
      <c r="L562" t="s">
        <v>49</v>
      </c>
      <c r="M562">
        <v>0</v>
      </c>
      <c r="N562">
        <f t="shared" si="35"/>
        <v>1</v>
      </c>
      <c r="P562" s="4">
        <f t="shared" si="32"/>
        <v>11</v>
      </c>
      <c r="Q562" s="4" t="str">
        <f t="shared" si="33"/>
        <v>Late Night</v>
      </c>
      <c r="R562" s="4" t="str">
        <f t="shared" si="34"/>
        <v>Low</v>
      </c>
    </row>
    <row r="563" spans="1:18">
      <c r="A563" t="s">
        <v>807</v>
      </c>
      <c r="B563" s="2">
        <v>46124</v>
      </c>
      <c r="C563" s="3">
        <v>0.692361111111111</v>
      </c>
      <c r="D563" t="s">
        <v>232</v>
      </c>
      <c r="E563">
        <v>45.8</v>
      </c>
      <c r="F563" t="s">
        <v>29</v>
      </c>
      <c r="G563" t="s">
        <v>66</v>
      </c>
      <c r="H563" t="s">
        <v>9</v>
      </c>
      <c r="I563" t="s">
        <v>15</v>
      </c>
      <c r="J563" t="s">
        <v>22</v>
      </c>
      <c r="K563">
        <v>54</v>
      </c>
      <c r="L563" t="s">
        <v>49</v>
      </c>
      <c r="M563">
        <v>0</v>
      </c>
      <c r="N563">
        <f t="shared" si="35"/>
        <v>1</v>
      </c>
      <c r="P563" s="4">
        <f t="shared" si="32"/>
        <v>16</v>
      </c>
      <c r="Q563" s="4" t="str">
        <f t="shared" si="33"/>
        <v>Late Night</v>
      </c>
      <c r="R563" s="4" t="str">
        <f t="shared" si="34"/>
        <v>Low</v>
      </c>
    </row>
    <row r="564" spans="1:18">
      <c r="A564" t="s">
        <v>808</v>
      </c>
      <c r="B564" s="2">
        <v>46124</v>
      </c>
      <c r="C564" s="3">
        <v>0.939583333333333</v>
      </c>
      <c r="D564" t="s">
        <v>103</v>
      </c>
      <c r="E564">
        <v>103.99</v>
      </c>
      <c r="F564" t="s">
        <v>30</v>
      </c>
      <c r="G564" t="s">
        <v>48</v>
      </c>
      <c r="H564" t="s">
        <v>5</v>
      </c>
      <c r="I564" t="s">
        <v>15</v>
      </c>
      <c r="J564" t="s">
        <v>24</v>
      </c>
      <c r="K564">
        <v>37</v>
      </c>
      <c r="L564" t="s">
        <v>49</v>
      </c>
      <c r="M564">
        <v>0</v>
      </c>
      <c r="N564">
        <f t="shared" si="35"/>
        <v>1</v>
      </c>
      <c r="P564" s="4">
        <f t="shared" si="32"/>
        <v>22</v>
      </c>
      <c r="Q564" s="4" t="str">
        <f t="shared" si="33"/>
        <v>Late Night</v>
      </c>
      <c r="R564" s="4" t="str">
        <f t="shared" si="34"/>
        <v>Low</v>
      </c>
    </row>
    <row r="565" spans="1:18">
      <c r="A565" t="s">
        <v>809</v>
      </c>
      <c r="B565" s="2">
        <v>46124</v>
      </c>
      <c r="C565" s="3">
        <v>0.507638888888889</v>
      </c>
      <c r="D565" t="s">
        <v>192</v>
      </c>
      <c r="E565">
        <v>236.97</v>
      </c>
      <c r="F565" t="s">
        <v>29</v>
      </c>
      <c r="G565" t="s">
        <v>71</v>
      </c>
      <c r="H565" t="s">
        <v>4</v>
      </c>
      <c r="I565" t="s">
        <v>14</v>
      </c>
      <c r="J565" t="s">
        <v>20</v>
      </c>
      <c r="K565">
        <v>56</v>
      </c>
      <c r="L565" t="s">
        <v>49</v>
      </c>
      <c r="M565">
        <v>0</v>
      </c>
      <c r="N565">
        <f t="shared" si="35"/>
        <v>1</v>
      </c>
      <c r="P565" s="4">
        <f t="shared" si="32"/>
        <v>12</v>
      </c>
      <c r="Q565" s="4" t="str">
        <f t="shared" si="33"/>
        <v>Late Night</v>
      </c>
      <c r="R565" s="4" t="str">
        <f t="shared" si="34"/>
        <v>Low</v>
      </c>
    </row>
    <row r="566" spans="1:18">
      <c r="A566" t="s">
        <v>810</v>
      </c>
      <c r="B566" s="2">
        <v>46124</v>
      </c>
      <c r="C566" s="3">
        <v>0.929166666666667</v>
      </c>
      <c r="D566" t="s">
        <v>212</v>
      </c>
      <c r="E566">
        <v>32.19</v>
      </c>
      <c r="F566" t="s">
        <v>29</v>
      </c>
      <c r="G566" t="s">
        <v>48</v>
      </c>
      <c r="H566" t="s">
        <v>10</v>
      </c>
      <c r="I566" t="s">
        <v>15</v>
      </c>
      <c r="J566" t="s">
        <v>23</v>
      </c>
      <c r="K566">
        <v>41</v>
      </c>
      <c r="L566" t="s">
        <v>49</v>
      </c>
      <c r="M566">
        <v>0</v>
      </c>
      <c r="N566">
        <f t="shared" si="35"/>
        <v>1</v>
      </c>
      <c r="P566" s="4">
        <f t="shared" si="32"/>
        <v>22</v>
      </c>
      <c r="Q566" s="4" t="str">
        <f t="shared" si="33"/>
        <v>Late Night</v>
      </c>
      <c r="R566" s="4" t="str">
        <f t="shared" si="34"/>
        <v>Low</v>
      </c>
    </row>
    <row r="567" spans="1:18">
      <c r="A567" t="s">
        <v>811</v>
      </c>
      <c r="B567" s="2">
        <v>46124</v>
      </c>
      <c r="C567" s="3">
        <v>0.108333333333333</v>
      </c>
      <c r="D567" t="s">
        <v>221</v>
      </c>
      <c r="E567">
        <v>178.03</v>
      </c>
      <c r="F567" t="s">
        <v>31</v>
      </c>
      <c r="G567" t="s">
        <v>71</v>
      </c>
      <c r="H567" t="s">
        <v>10</v>
      </c>
      <c r="I567" t="s">
        <v>15</v>
      </c>
      <c r="J567" t="s">
        <v>23</v>
      </c>
      <c r="K567">
        <v>65</v>
      </c>
      <c r="L567" t="s">
        <v>49</v>
      </c>
      <c r="M567">
        <v>0</v>
      </c>
      <c r="N567">
        <f t="shared" si="35"/>
        <v>1</v>
      </c>
      <c r="P567" s="4">
        <f t="shared" si="32"/>
        <v>2</v>
      </c>
      <c r="Q567" s="4" t="str">
        <f t="shared" si="33"/>
        <v>Late Night</v>
      </c>
      <c r="R567" s="4" t="str">
        <f t="shared" si="34"/>
        <v>Low</v>
      </c>
    </row>
    <row r="568" spans="1:18">
      <c r="A568" t="s">
        <v>812</v>
      </c>
      <c r="B568" s="2">
        <v>46124</v>
      </c>
      <c r="C568" s="3">
        <v>0.363194444444444</v>
      </c>
      <c r="D568" t="s">
        <v>813</v>
      </c>
      <c r="E568">
        <v>78.52</v>
      </c>
      <c r="F568" t="s">
        <v>28</v>
      </c>
      <c r="G568" t="s">
        <v>71</v>
      </c>
      <c r="H568" t="s">
        <v>10</v>
      </c>
      <c r="I568" t="s">
        <v>14</v>
      </c>
      <c r="J568" t="s">
        <v>19</v>
      </c>
      <c r="K568">
        <v>37</v>
      </c>
      <c r="L568" t="s">
        <v>49</v>
      </c>
      <c r="M568">
        <v>0</v>
      </c>
      <c r="N568">
        <f t="shared" si="35"/>
        <v>1</v>
      </c>
      <c r="P568" s="4">
        <f t="shared" si="32"/>
        <v>8</v>
      </c>
      <c r="Q568" s="4" t="str">
        <f t="shared" si="33"/>
        <v>Late Night</v>
      </c>
      <c r="R568" s="4" t="str">
        <f t="shared" si="34"/>
        <v>Low</v>
      </c>
    </row>
    <row r="569" spans="1:18">
      <c r="A569" t="s">
        <v>814</v>
      </c>
      <c r="B569" s="2">
        <v>46125</v>
      </c>
      <c r="C569" s="3">
        <v>0.706944444444444</v>
      </c>
      <c r="D569" t="s">
        <v>294</v>
      </c>
      <c r="E569">
        <v>331.88</v>
      </c>
      <c r="F569" t="s">
        <v>31</v>
      </c>
      <c r="G569" t="s">
        <v>59</v>
      </c>
      <c r="H569" t="s">
        <v>4</v>
      </c>
      <c r="I569" t="s">
        <v>15</v>
      </c>
      <c r="J569" t="s">
        <v>18</v>
      </c>
      <c r="K569">
        <v>18</v>
      </c>
      <c r="L569" t="s">
        <v>49</v>
      </c>
      <c r="M569">
        <v>0</v>
      </c>
      <c r="N569">
        <f t="shared" si="35"/>
        <v>1</v>
      </c>
      <c r="P569" s="4">
        <f t="shared" si="32"/>
        <v>16</v>
      </c>
      <c r="Q569" s="4" t="str">
        <f t="shared" si="33"/>
        <v>Late Night</v>
      </c>
      <c r="R569" s="4" t="str">
        <f t="shared" si="34"/>
        <v>Low</v>
      </c>
    </row>
    <row r="570" spans="1:18">
      <c r="A570" t="s">
        <v>815</v>
      </c>
      <c r="B570" s="2">
        <v>46125</v>
      </c>
      <c r="C570" s="3">
        <v>0.706944444444444</v>
      </c>
      <c r="D570" t="s">
        <v>579</v>
      </c>
      <c r="E570">
        <v>153.64</v>
      </c>
      <c r="F570" t="s">
        <v>29</v>
      </c>
      <c r="G570" t="s">
        <v>71</v>
      </c>
      <c r="H570" t="s">
        <v>8</v>
      </c>
      <c r="I570" t="s">
        <v>15</v>
      </c>
      <c r="J570" t="s">
        <v>19</v>
      </c>
      <c r="K570">
        <v>18</v>
      </c>
      <c r="L570" t="s">
        <v>49</v>
      </c>
      <c r="M570">
        <v>0</v>
      </c>
      <c r="N570">
        <f t="shared" si="35"/>
        <v>1</v>
      </c>
      <c r="P570" s="4">
        <f t="shared" si="32"/>
        <v>16</v>
      </c>
      <c r="Q570" s="4" t="str">
        <f t="shared" si="33"/>
        <v>Late Night</v>
      </c>
      <c r="R570" s="4" t="str">
        <f t="shared" si="34"/>
        <v>Low</v>
      </c>
    </row>
    <row r="571" spans="1:18">
      <c r="A571" t="s">
        <v>816</v>
      </c>
      <c r="B571" s="2">
        <v>46125</v>
      </c>
      <c r="C571" s="3">
        <v>0.825</v>
      </c>
      <c r="D571" t="s">
        <v>91</v>
      </c>
      <c r="E571">
        <v>463.79</v>
      </c>
      <c r="F571" t="s">
        <v>28</v>
      </c>
      <c r="G571" t="s">
        <v>59</v>
      </c>
      <c r="H571" t="s">
        <v>10</v>
      </c>
      <c r="I571" t="s">
        <v>15</v>
      </c>
      <c r="J571" t="s">
        <v>21</v>
      </c>
      <c r="K571">
        <v>34</v>
      </c>
      <c r="L571" t="s">
        <v>49</v>
      </c>
      <c r="M571">
        <v>0</v>
      </c>
      <c r="N571">
        <f t="shared" si="35"/>
        <v>1</v>
      </c>
      <c r="P571" s="4">
        <f t="shared" si="32"/>
        <v>19</v>
      </c>
      <c r="Q571" s="4" t="str">
        <f t="shared" si="33"/>
        <v>Late Night</v>
      </c>
      <c r="R571" s="4" t="str">
        <f t="shared" si="34"/>
        <v>Low</v>
      </c>
    </row>
    <row r="572" spans="1:18">
      <c r="A572" t="s">
        <v>817</v>
      </c>
      <c r="B572" s="2">
        <v>46125</v>
      </c>
      <c r="C572" s="3">
        <v>0.636111111111111</v>
      </c>
      <c r="D572" t="s">
        <v>201</v>
      </c>
      <c r="E572">
        <v>137.06</v>
      </c>
      <c r="F572" t="s">
        <v>29</v>
      </c>
      <c r="G572" t="s">
        <v>48</v>
      </c>
      <c r="H572" t="s">
        <v>10</v>
      </c>
      <c r="I572" t="s">
        <v>14</v>
      </c>
      <c r="J572" t="s">
        <v>18</v>
      </c>
      <c r="K572">
        <v>18</v>
      </c>
      <c r="L572" t="s">
        <v>49</v>
      </c>
      <c r="M572">
        <v>0</v>
      </c>
      <c r="N572">
        <f t="shared" si="35"/>
        <v>1</v>
      </c>
      <c r="P572" s="4">
        <f t="shared" si="32"/>
        <v>15</v>
      </c>
      <c r="Q572" s="4" t="str">
        <f t="shared" si="33"/>
        <v>Late Night</v>
      </c>
      <c r="R572" s="4" t="str">
        <f t="shared" si="34"/>
        <v>Low</v>
      </c>
    </row>
    <row r="573" spans="1:18">
      <c r="A573" t="s">
        <v>818</v>
      </c>
      <c r="B573" s="2">
        <v>46125</v>
      </c>
      <c r="C573" s="3">
        <v>0.88125</v>
      </c>
      <c r="D573" t="s">
        <v>601</v>
      </c>
      <c r="E573">
        <v>46.41</v>
      </c>
      <c r="F573" t="s">
        <v>31</v>
      </c>
      <c r="G573" t="s">
        <v>54</v>
      </c>
      <c r="H573" t="s">
        <v>9</v>
      </c>
      <c r="I573" t="s">
        <v>15</v>
      </c>
      <c r="J573" t="s">
        <v>22</v>
      </c>
      <c r="K573">
        <v>62</v>
      </c>
      <c r="L573" t="s">
        <v>49</v>
      </c>
      <c r="M573">
        <v>0</v>
      </c>
      <c r="N573">
        <f t="shared" si="35"/>
        <v>1</v>
      </c>
      <c r="P573" s="4">
        <f t="shared" si="32"/>
        <v>21</v>
      </c>
      <c r="Q573" s="4" t="str">
        <f t="shared" si="33"/>
        <v>Late Night</v>
      </c>
      <c r="R573" s="4" t="str">
        <f t="shared" si="34"/>
        <v>Low</v>
      </c>
    </row>
    <row r="574" spans="1:18">
      <c r="A574" t="s">
        <v>819</v>
      </c>
      <c r="B574" s="2">
        <v>46126</v>
      </c>
      <c r="C574" s="3">
        <v>0.538888888888889</v>
      </c>
      <c r="D574" t="s">
        <v>499</v>
      </c>
      <c r="E574">
        <v>40.98</v>
      </c>
      <c r="F574" t="s">
        <v>31</v>
      </c>
      <c r="G574" t="s">
        <v>59</v>
      </c>
      <c r="H574" t="s">
        <v>6</v>
      </c>
      <c r="I574" t="s">
        <v>15</v>
      </c>
      <c r="J574" t="s">
        <v>22</v>
      </c>
      <c r="K574">
        <v>47</v>
      </c>
      <c r="L574" t="s">
        <v>49</v>
      </c>
      <c r="M574">
        <v>0</v>
      </c>
      <c r="N574">
        <f t="shared" si="35"/>
        <v>1</v>
      </c>
      <c r="P574" s="4">
        <f t="shared" si="32"/>
        <v>12</v>
      </c>
      <c r="Q574" s="4" t="str">
        <f t="shared" si="33"/>
        <v>Late Night</v>
      </c>
      <c r="R574" s="4" t="str">
        <f t="shared" si="34"/>
        <v>Low</v>
      </c>
    </row>
    <row r="575" spans="1:18">
      <c r="A575" t="s">
        <v>820</v>
      </c>
      <c r="B575" s="2">
        <v>46126</v>
      </c>
      <c r="C575" s="3">
        <v>0.7875</v>
      </c>
      <c r="D575" t="s">
        <v>208</v>
      </c>
      <c r="E575">
        <v>26.87</v>
      </c>
      <c r="F575" t="s">
        <v>29</v>
      </c>
      <c r="G575" t="s">
        <v>48</v>
      </c>
      <c r="H575" t="s">
        <v>6</v>
      </c>
      <c r="I575" t="s">
        <v>15</v>
      </c>
      <c r="J575" t="s">
        <v>23</v>
      </c>
      <c r="K575">
        <v>58</v>
      </c>
      <c r="L575" t="s">
        <v>49</v>
      </c>
      <c r="M575">
        <v>0</v>
      </c>
      <c r="N575">
        <f t="shared" si="35"/>
        <v>1</v>
      </c>
      <c r="P575" s="4">
        <f t="shared" si="32"/>
        <v>18</v>
      </c>
      <c r="Q575" s="4" t="str">
        <f t="shared" si="33"/>
        <v>Late Night</v>
      </c>
      <c r="R575" s="4" t="str">
        <f t="shared" si="34"/>
        <v>Low</v>
      </c>
    </row>
    <row r="576" spans="1:18">
      <c r="A576" t="s">
        <v>821</v>
      </c>
      <c r="B576" s="2">
        <v>46126</v>
      </c>
      <c r="C576" s="3">
        <v>0.7</v>
      </c>
      <c r="D576" t="s">
        <v>655</v>
      </c>
      <c r="E576">
        <v>341.37</v>
      </c>
      <c r="F576" t="s">
        <v>31</v>
      </c>
      <c r="G576" t="s">
        <v>59</v>
      </c>
      <c r="H576" t="s">
        <v>7</v>
      </c>
      <c r="I576" t="s">
        <v>15</v>
      </c>
      <c r="J576" t="s">
        <v>21</v>
      </c>
      <c r="K576">
        <v>64</v>
      </c>
      <c r="L576" t="s">
        <v>49</v>
      </c>
      <c r="M576">
        <v>0</v>
      </c>
      <c r="N576">
        <f t="shared" si="35"/>
        <v>1</v>
      </c>
      <c r="P576" s="4">
        <f t="shared" si="32"/>
        <v>16</v>
      </c>
      <c r="Q576" s="4" t="str">
        <f t="shared" si="33"/>
        <v>Late Night</v>
      </c>
      <c r="R576" s="4" t="str">
        <f t="shared" si="34"/>
        <v>Low</v>
      </c>
    </row>
    <row r="577" spans="1:18">
      <c r="A577" t="s">
        <v>822</v>
      </c>
      <c r="B577" s="2">
        <v>46126</v>
      </c>
      <c r="C577" s="3">
        <v>0.156944444444444</v>
      </c>
      <c r="D577" t="s">
        <v>477</v>
      </c>
      <c r="E577">
        <v>2339.59</v>
      </c>
      <c r="F577" t="s">
        <v>31</v>
      </c>
      <c r="G577" t="s">
        <v>71</v>
      </c>
      <c r="H577" t="s">
        <v>7</v>
      </c>
      <c r="I577" t="s">
        <v>15</v>
      </c>
      <c r="J577" t="s">
        <v>20</v>
      </c>
      <c r="K577">
        <v>20</v>
      </c>
      <c r="L577" t="s">
        <v>49</v>
      </c>
      <c r="M577">
        <v>0</v>
      </c>
      <c r="N577">
        <f t="shared" si="35"/>
        <v>1</v>
      </c>
      <c r="P577" s="4">
        <f t="shared" si="32"/>
        <v>3</v>
      </c>
      <c r="Q577" s="4" t="str">
        <f t="shared" si="33"/>
        <v>Late Night</v>
      </c>
      <c r="R577" s="4" t="str">
        <f t="shared" si="34"/>
        <v>Medium</v>
      </c>
    </row>
    <row r="578" spans="1:18">
      <c r="A578" t="s">
        <v>823</v>
      </c>
      <c r="B578" s="2">
        <v>46126</v>
      </c>
      <c r="C578" s="3">
        <v>0.465972222222222</v>
      </c>
      <c r="D578" t="s">
        <v>155</v>
      </c>
      <c r="E578">
        <v>280.13</v>
      </c>
      <c r="F578" t="s">
        <v>31</v>
      </c>
      <c r="G578" t="s">
        <v>48</v>
      </c>
      <c r="H578" t="s">
        <v>10</v>
      </c>
      <c r="I578" t="s">
        <v>15</v>
      </c>
      <c r="J578" t="s">
        <v>21</v>
      </c>
      <c r="K578">
        <v>63</v>
      </c>
      <c r="L578" t="s">
        <v>49</v>
      </c>
      <c r="M578">
        <v>0</v>
      </c>
      <c r="N578">
        <f t="shared" si="35"/>
        <v>1</v>
      </c>
      <c r="P578" s="4">
        <f t="shared" ref="P578:P641" si="36">HOUR(C578)</f>
        <v>11</v>
      </c>
      <c r="Q578" s="4" t="str">
        <f t="shared" ref="Q578:Q641" si="37">IF(N578&lt;6,"Late Night",IF(N578&lt;12,"Morning",IF(N578&lt;18,"Afternoon","Evening")))</f>
        <v>Late Night</v>
      </c>
      <c r="R578" s="4" t="str">
        <f t="shared" ref="R578:R641" si="38">IF(E578&lt;1000,"Low",IF(E578&lt;5000,"Medium",IF(E578&lt;15000,"High","Very High")))</f>
        <v>Low</v>
      </c>
    </row>
    <row r="579" spans="1:18">
      <c r="A579" t="s">
        <v>824</v>
      </c>
      <c r="B579" s="2">
        <v>46126</v>
      </c>
      <c r="C579" s="3">
        <v>0.34375</v>
      </c>
      <c r="D579" t="s">
        <v>655</v>
      </c>
      <c r="E579">
        <v>964.92</v>
      </c>
      <c r="F579" t="s">
        <v>32</v>
      </c>
      <c r="G579" t="s">
        <v>66</v>
      </c>
      <c r="H579" t="s">
        <v>9</v>
      </c>
      <c r="I579" t="s">
        <v>15</v>
      </c>
      <c r="J579" t="s">
        <v>22</v>
      </c>
      <c r="K579">
        <v>28</v>
      </c>
      <c r="L579" t="s">
        <v>49</v>
      </c>
      <c r="M579">
        <v>0</v>
      </c>
      <c r="N579">
        <f t="shared" ref="N579:N642" si="39">COUNTIF($A$2:$A$1001,A579)</f>
        <v>1</v>
      </c>
      <c r="P579" s="4">
        <f t="shared" si="36"/>
        <v>8</v>
      </c>
      <c r="Q579" s="4" t="str">
        <f t="shared" si="37"/>
        <v>Late Night</v>
      </c>
      <c r="R579" s="4" t="str">
        <f t="shared" si="38"/>
        <v>Low</v>
      </c>
    </row>
    <row r="580" spans="1:18">
      <c r="A580" t="s">
        <v>825</v>
      </c>
      <c r="B580" s="2">
        <v>46127</v>
      </c>
      <c r="C580" s="3">
        <v>0.765972222222222</v>
      </c>
      <c r="D580" t="s">
        <v>336</v>
      </c>
      <c r="E580">
        <v>563.17</v>
      </c>
      <c r="F580" t="s">
        <v>29</v>
      </c>
      <c r="G580" t="s">
        <v>71</v>
      </c>
      <c r="H580" t="s">
        <v>10</v>
      </c>
      <c r="I580" t="s">
        <v>16</v>
      </c>
      <c r="J580" t="s">
        <v>20</v>
      </c>
      <c r="K580">
        <v>41</v>
      </c>
      <c r="L580" t="s">
        <v>49</v>
      </c>
      <c r="M580">
        <v>0</v>
      </c>
      <c r="N580">
        <f t="shared" si="39"/>
        <v>1</v>
      </c>
      <c r="P580" s="4">
        <f t="shared" si="36"/>
        <v>18</v>
      </c>
      <c r="Q580" s="4" t="str">
        <f t="shared" si="37"/>
        <v>Late Night</v>
      </c>
      <c r="R580" s="4" t="str">
        <f t="shared" si="38"/>
        <v>Low</v>
      </c>
    </row>
    <row r="581" spans="1:18">
      <c r="A581" t="s">
        <v>826</v>
      </c>
      <c r="B581" s="2">
        <v>46127</v>
      </c>
      <c r="C581" s="3">
        <v>0.470833333333333</v>
      </c>
      <c r="D581" t="s">
        <v>316</v>
      </c>
      <c r="E581">
        <v>107.95</v>
      </c>
      <c r="F581" t="s">
        <v>31</v>
      </c>
      <c r="G581" t="s">
        <v>71</v>
      </c>
      <c r="H581" t="s">
        <v>7</v>
      </c>
      <c r="I581" t="s">
        <v>14</v>
      </c>
      <c r="J581" t="s">
        <v>21</v>
      </c>
      <c r="K581">
        <v>39</v>
      </c>
      <c r="L581" t="s">
        <v>49</v>
      </c>
      <c r="M581">
        <v>0</v>
      </c>
      <c r="N581">
        <f t="shared" si="39"/>
        <v>1</v>
      </c>
      <c r="P581" s="4">
        <f t="shared" si="36"/>
        <v>11</v>
      </c>
      <c r="Q581" s="4" t="str">
        <f t="shared" si="37"/>
        <v>Late Night</v>
      </c>
      <c r="R581" s="4" t="str">
        <f t="shared" si="38"/>
        <v>Low</v>
      </c>
    </row>
    <row r="582" spans="1:18">
      <c r="A582" t="s">
        <v>827</v>
      </c>
      <c r="B582" s="2">
        <v>46127</v>
      </c>
      <c r="C582" s="3">
        <v>0.338194444444444</v>
      </c>
      <c r="D582" t="s">
        <v>95</v>
      </c>
      <c r="E582">
        <v>642.47</v>
      </c>
      <c r="F582" t="s">
        <v>31</v>
      </c>
      <c r="G582" t="s">
        <v>71</v>
      </c>
      <c r="H582" t="s">
        <v>4</v>
      </c>
      <c r="I582" t="s">
        <v>15</v>
      </c>
      <c r="J582" t="s">
        <v>21</v>
      </c>
      <c r="K582">
        <v>61</v>
      </c>
      <c r="L582" t="s">
        <v>49</v>
      </c>
      <c r="M582">
        <v>0</v>
      </c>
      <c r="N582">
        <f t="shared" si="39"/>
        <v>1</v>
      </c>
      <c r="P582" s="4">
        <f t="shared" si="36"/>
        <v>8</v>
      </c>
      <c r="Q582" s="4" t="str">
        <f t="shared" si="37"/>
        <v>Late Night</v>
      </c>
      <c r="R582" s="4" t="str">
        <f t="shared" si="38"/>
        <v>Low</v>
      </c>
    </row>
    <row r="583" spans="1:18">
      <c r="A583" t="s">
        <v>828</v>
      </c>
      <c r="B583" s="2">
        <v>46127</v>
      </c>
      <c r="C583" s="3">
        <v>0.270833333333333</v>
      </c>
      <c r="D583" t="s">
        <v>420</v>
      </c>
      <c r="E583">
        <v>112.33</v>
      </c>
      <c r="F583" t="s">
        <v>31</v>
      </c>
      <c r="G583" t="s">
        <v>59</v>
      </c>
      <c r="H583" t="s">
        <v>4</v>
      </c>
      <c r="I583" t="s">
        <v>14</v>
      </c>
      <c r="J583" t="s">
        <v>20</v>
      </c>
      <c r="K583">
        <v>62</v>
      </c>
      <c r="L583" t="s">
        <v>49</v>
      </c>
      <c r="M583">
        <v>0</v>
      </c>
      <c r="N583">
        <f t="shared" si="39"/>
        <v>1</v>
      </c>
      <c r="P583" s="4">
        <f t="shared" si="36"/>
        <v>6</v>
      </c>
      <c r="Q583" s="4" t="str">
        <f t="shared" si="37"/>
        <v>Late Night</v>
      </c>
      <c r="R583" s="4" t="str">
        <f t="shared" si="38"/>
        <v>Low</v>
      </c>
    </row>
    <row r="584" spans="1:18">
      <c r="A584" t="s">
        <v>829</v>
      </c>
      <c r="B584" s="2">
        <v>46127</v>
      </c>
      <c r="C584" s="3">
        <v>0.555555555555556</v>
      </c>
      <c r="D584" t="s">
        <v>97</v>
      </c>
      <c r="E584">
        <v>114.58</v>
      </c>
      <c r="F584" t="s">
        <v>29</v>
      </c>
      <c r="G584" t="s">
        <v>71</v>
      </c>
      <c r="H584" t="s">
        <v>8</v>
      </c>
      <c r="I584" t="s">
        <v>15</v>
      </c>
      <c r="J584" t="s">
        <v>22</v>
      </c>
      <c r="K584">
        <v>43</v>
      </c>
      <c r="L584" t="s">
        <v>49</v>
      </c>
      <c r="M584">
        <v>0</v>
      </c>
      <c r="N584">
        <f t="shared" si="39"/>
        <v>1</v>
      </c>
      <c r="P584" s="4">
        <f t="shared" si="36"/>
        <v>13</v>
      </c>
      <c r="Q584" s="4" t="str">
        <f t="shared" si="37"/>
        <v>Late Night</v>
      </c>
      <c r="R584" s="4" t="str">
        <f t="shared" si="38"/>
        <v>Low</v>
      </c>
    </row>
    <row r="585" spans="1:18">
      <c r="A585" t="s">
        <v>830</v>
      </c>
      <c r="B585" s="2">
        <v>46128</v>
      </c>
      <c r="C585" s="3">
        <v>0.802777777777778</v>
      </c>
      <c r="D585" t="s">
        <v>149</v>
      </c>
      <c r="E585">
        <v>147.14</v>
      </c>
      <c r="F585" t="s">
        <v>29</v>
      </c>
      <c r="G585" t="s">
        <v>66</v>
      </c>
      <c r="H585" t="s">
        <v>5</v>
      </c>
      <c r="I585" t="s">
        <v>15</v>
      </c>
      <c r="J585" t="s">
        <v>21</v>
      </c>
      <c r="K585">
        <v>30</v>
      </c>
      <c r="L585" t="s">
        <v>49</v>
      </c>
      <c r="M585">
        <v>0</v>
      </c>
      <c r="N585">
        <f t="shared" si="39"/>
        <v>1</v>
      </c>
      <c r="P585" s="4">
        <f t="shared" si="36"/>
        <v>19</v>
      </c>
      <c r="Q585" s="4" t="str">
        <f t="shared" si="37"/>
        <v>Late Night</v>
      </c>
      <c r="R585" s="4" t="str">
        <f t="shared" si="38"/>
        <v>Low</v>
      </c>
    </row>
    <row r="586" spans="1:18">
      <c r="A586" t="s">
        <v>831</v>
      </c>
      <c r="B586" s="2">
        <v>46128</v>
      </c>
      <c r="C586" s="3">
        <v>0.765277777777778</v>
      </c>
      <c r="D586" t="s">
        <v>219</v>
      </c>
      <c r="E586">
        <v>154.29</v>
      </c>
      <c r="F586" t="s">
        <v>31</v>
      </c>
      <c r="G586" t="s">
        <v>48</v>
      </c>
      <c r="H586" t="s">
        <v>6</v>
      </c>
      <c r="I586" t="s">
        <v>15</v>
      </c>
      <c r="J586" t="s">
        <v>20</v>
      </c>
      <c r="K586">
        <v>18</v>
      </c>
      <c r="L586" t="s">
        <v>49</v>
      </c>
      <c r="M586">
        <v>0</v>
      </c>
      <c r="N586">
        <f t="shared" si="39"/>
        <v>1</v>
      </c>
      <c r="P586" s="4">
        <f t="shared" si="36"/>
        <v>18</v>
      </c>
      <c r="Q586" s="4" t="str">
        <f t="shared" si="37"/>
        <v>Late Night</v>
      </c>
      <c r="R586" s="4" t="str">
        <f t="shared" si="38"/>
        <v>Low</v>
      </c>
    </row>
    <row r="587" spans="1:18">
      <c r="A587" t="s">
        <v>832</v>
      </c>
      <c r="B587" s="2">
        <v>46128</v>
      </c>
      <c r="C587" s="3">
        <v>0.608333333333333</v>
      </c>
      <c r="D587" t="s">
        <v>114</v>
      </c>
      <c r="E587">
        <v>351.2</v>
      </c>
      <c r="F587" t="s">
        <v>31</v>
      </c>
      <c r="G587" t="s">
        <v>54</v>
      </c>
      <c r="H587" t="s">
        <v>9</v>
      </c>
      <c r="I587" t="s">
        <v>14</v>
      </c>
      <c r="J587" t="s">
        <v>24</v>
      </c>
      <c r="K587">
        <v>41</v>
      </c>
      <c r="L587" t="s">
        <v>49</v>
      </c>
      <c r="M587">
        <v>0</v>
      </c>
      <c r="N587">
        <f t="shared" si="39"/>
        <v>1</v>
      </c>
      <c r="P587" s="4">
        <f t="shared" si="36"/>
        <v>14</v>
      </c>
      <c r="Q587" s="4" t="str">
        <f t="shared" si="37"/>
        <v>Late Night</v>
      </c>
      <c r="R587" s="4" t="str">
        <f t="shared" si="38"/>
        <v>Low</v>
      </c>
    </row>
    <row r="588" spans="1:18">
      <c r="A588" t="s">
        <v>833</v>
      </c>
      <c r="B588" s="2">
        <v>46128</v>
      </c>
      <c r="C588" s="3">
        <v>0.661805555555556</v>
      </c>
      <c r="D588" t="s">
        <v>206</v>
      </c>
      <c r="E588">
        <v>92.68</v>
      </c>
      <c r="F588" t="s">
        <v>31</v>
      </c>
      <c r="G588" t="s">
        <v>59</v>
      </c>
      <c r="H588" t="s">
        <v>3</v>
      </c>
      <c r="I588" t="s">
        <v>14</v>
      </c>
      <c r="J588" t="s">
        <v>24</v>
      </c>
      <c r="K588">
        <v>27</v>
      </c>
      <c r="L588" t="s">
        <v>49</v>
      </c>
      <c r="M588">
        <v>0</v>
      </c>
      <c r="N588">
        <f t="shared" si="39"/>
        <v>1</v>
      </c>
      <c r="P588" s="4">
        <f t="shared" si="36"/>
        <v>15</v>
      </c>
      <c r="Q588" s="4" t="str">
        <f t="shared" si="37"/>
        <v>Late Night</v>
      </c>
      <c r="R588" s="4" t="str">
        <f t="shared" si="38"/>
        <v>Low</v>
      </c>
    </row>
    <row r="589" spans="1:18">
      <c r="A589" t="s">
        <v>834</v>
      </c>
      <c r="B589" s="2">
        <v>46128</v>
      </c>
      <c r="C589" s="3">
        <v>0.84375</v>
      </c>
      <c r="D589" t="s">
        <v>300</v>
      </c>
      <c r="E589">
        <v>441.03</v>
      </c>
      <c r="F589" t="s">
        <v>29</v>
      </c>
      <c r="G589" t="s">
        <v>48</v>
      </c>
      <c r="H589" t="s">
        <v>6</v>
      </c>
      <c r="I589" t="s">
        <v>15</v>
      </c>
      <c r="J589" t="s">
        <v>22</v>
      </c>
      <c r="K589">
        <v>52</v>
      </c>
      <c r="L589" t="s">
        <v>49</v>
      </c>
      <c r="M589">
        <v>0</v>
      </c>
      <c r="N589">
        <f t="shared" si="39"/>
        <v>1</v>
      </c>
      <c r="P589" s="4">
        <f t="shared" si="36"/>
        <v>20</v>
      </c>
      <c r="Q589" s="4" t="str">
        <f t="shared" si="37"/>
        <v>Late Night</v>
      </c>
      <c r="R589" s="4" t="str">
        <f t="shared" si="38"/>
        <v>Low</v>
      </c>
    </row>
    <row r="590" spans="1:18">
      <c r="A590" t="s">
        <v>835</v>
      </c>
      <c r="B590" s="2">
        <v>46128</v>
      </c>
      <c r="C590" s="3">
        <v>0.170138888888889</v>
      </c>
      <c r="D590" t="s">
        <v>836</v>
      </c>
      <c r="E590">
        <v>434.74</v>
      </c>
      <c r="F590" t="s">
        <v>29</v>
      </c>
      <c r="G590" t="s">
        <v>59</v>
      </c>
      <c r="H590" t="s">
        <v>3</v>
      </c>
      <c r="I590" t="s">
        <v>16</v>
      </c>
      <c r="J590" t="s">
        <v>20</v>
      </c>
      <c r="K590">
        <v>41</v>
      </c>
      <c r="L590" t="s">
        <v>49</v>
      </c>
      <c r="M590">
        <v>1</v>
      </c>
      <c r="N590">
        <f t="shared" si="39"/>
        <v>1</v>
      </c>
      <c r="P590" s="4">
        <f t="shared" si="36"/>
        <v>4</v>
      </c>
      <c r="Q590" s="4" t="str">
        <f t="shared" si="37"/>
        <v>Late Night</v>
      </c>
      <c r="R590" s="4" t="str">
        <f t="shared" si="38"/>
        <v>Low</v>
      </c>
    </row>
    <row r="591" spans="1:18">
      <c r="A591" t="s">
        <v>837</v>
      </c>
      <c r="B591" s="2">
        <v>46129</v>
      </c>
      <c r="C591" s="3">
        <v>0.0881944444444444</v>
      </c>
      <c r="D591" t="s">
        <v>147</v>
      </c>
      <c r="E591">
        <v>255.43</v>
      </c>
      <c r="F591" t="s">
        <v>31</v>
      </c>
      <c r="G591" t="s">
        <v>59</v>
      </c>
      <c r="H591" t="s">
        <v>5</v>
      </c>
      <c r="I591" t="s">
        <v>15</v>
      </c>
      <c r="J591" t="s">
        <v>24</v>
      </c>
      <c r="K591">
        <v>45</v>
      </c>
      <c r="L591" t="s">
        <v>85</v>
      </c>
      <c r="M591">
        <v>1</v>
      </c>
      <c r="N591">
        <f t="shared" si="39"/>
        <v>1</v>
      </c>
      <c r="P591" s="4">
        <f t="shared" si="36"/>
        <v>2</v>
      </c>
      <c r="Q591" s="4" t="str">
        <f t="shared" si="37"/>
        <v>Late Night</v>
      </c>
      <c r="R591" s="4" t="str">
        <f t="shared" si="38"/>
        <v>Low</v>
      </c>
    </row>
    <row r="592" spans="1:18">
      <c r="A592" t="s">
        <v>838</v>
      </c>
      <c r="B592" s="2">
        <v>46129</v>
      </c>
      <c r="C592" s="3">
        <v>0.475</v>
      </c>
      <c r="D592" t="s">
        <v>134</v>
      </c>
      <c r="E592">
        <v>1260.94</v>
      </c>
      <c r="F592" t="s">
        <v>31</v>
      </c>
      <c r="G592" t="s">
        <v>48</v>
      </c>
      <c r="H592" t="s">
        <v>5</v>
      </c>
      <c r="I592" t="s">
        <v>14</v>
      </c>
      <c r="J592" t="s">
        <v>20</v>
      </c>
      <c r="K592">
        <v>53</v>
      </c>
      <c r="L592" t="s">
        <v>49</v>
      </c>
      <c r="M592">
        <v>0</v>
      </c>
      <c r="N592">
        <f t="shared" si="39"/>
        <v>1</v>
      </c>
      <c r="P592" s="4">
        <f t="shared" si="36"/>
        <v>11</v>
      </c>
      <c r="Q592" s="4" t="str">
        <f t="shared" si="37"/>
        <v>Late Night</v>
      </c>
      <c r="R592" s="4" t="str">
        <f t="shared" si="38"/>
        <v>Medium</v>
      </c>
    </row>
    <row r="593" spans="1:18">
      <c r="A593" t="s">
        <v>839</v>
      </c>
      <c r="B593" s="2">
        <v>46129</v>
      </c>
      <c r="C593" s="3">
        <v>0.803472222222222</v>
      </c>
      <c r="D593" t="s">
        <v>683</v>
      </c>
      <c r="E593">
        <v>656.81</v>
      </c>
      <c r="F593" t="s">
        <v>31</v>
      </c>
      <c r="G593" t="s">
        <v>59</v>
      </c>
      <c r="H593" t="s">
        <v>10</v>
      </c>
      <c r="I593" t="s">
        <v>16</v>
      </c>
      <c r="J593" t="s">
        <v>21</v>
      </c>
      <c r="K593">
        <v>33</v>
      </c>
      <c r="L593" t="s">
        <v>49</v>
      </c>
      <c r="M593">
        <v>0</v>
      </c>
      <c r="N593">
        <f t="shared" si="39"/>
        <v>1</v>
      </c>
      <c r="P593" s="4">
        <f t="shared" si="36"/>
        <v>19</v>
      </c>
      <c r="Q593" s="4" t="str">
        <f t="shared" si="37"/>
        <v>Late Night</v>
      </c>
      <c r="R593" s="4" t="str">
        <f t="shared" si="38"/>
        <v>Low</v>
      </c>
    </row>
    <row r="594" spans="1:18">
      <c r="A594" t="s">
        <v>840</v>
      </c>
      <c r="B594" s="2">
        <v>46129</v>
      </c>
      <c r="C594" s="3">
        <v>0.85</v>
      </c>
      <c r="D594" t="s">
        <v>167</v>
      </c>
      <c r="E594">
        <v>528.33</v>
      </c>
      <c r="F594" t="s">
        <v>32</v>
      </c>
      <c r="G594" t="s">
        <v>66</v>
      </c>
      <c r="H594" t="s">
        <v>7</v>
      </c>
      <c r="I594" t="s">
        <v>15</v>
      </c>
      <c r="J594" t="s">
        <v>22</v>
      </c>
      <c r="K594">
        <v>57</v>
      </c>
      <c r="L594" t="s">
        <v>49</v>
      </c>
      <c r="M594">
        <v>0</v>
      </c>
      <c r="N594">
        <f t="shared" si="39"/>
        <v>1</v>
      </c>
      <c r="P594" s="4">
        <f t="shared" si="36"/>
        <v>20</v>
      </c>
      <c r="Q594" s="4" t="str">
        <f t="shared" si="37"/>
        <v>Late Night</v>
      </c>
      <c r="R594" s="4" t="str">
        <f t="shared" si="38"/>
        <v>Low</v>
      </c>
    </row>
    <row r="595" spans="1:18">
      <c r="A595" t="s">
        <v>841</v>
      </c>
      <c r="B595" s="2">
        <v>46129</v>
      </c>
      <c r="C595" s="3">
        <v>0.132638888888889</v>
      </c>
      <c r="D595" t="s">
        <v>118</v>
      </c>
      <c r="E595">
        <v>193.67</v>
      </c>
      <c r="F595" t="s">
        <v>31</v>
      </c>
      <c r="G595" t="s">
        <v>54</v>
      </c>
      <c r="H595" t="s">
        <v>5</v>
      </c>
      <c r="I595" t="s">
        <v>14</v>
      </c>
      <c r="J595" t="s">
        <v>24</v>
      </c>
      <c r="K595">
        <v>33</v>
      </c>
      <c r="L595" t="s">
        <v>168</v>
      </c>
      <c r="M595">
        <v>1</v>
      </c>
      <c r="N595">
        <f t="shared" si="39"/>
        <v>1</v>
      </c>
      <c r="P595" s="4">
        <f t="shared" si="36"/>
        <v>3</v>
      </c>
      <c r="Q595" s="4" t="str">
        <f t="shared" si="37"/>
        <v>Late Night</v>
      </c>
      <c r="R595" s="4" t="str">
        <f t="shared" si="38"/>
        <v>Low</v>
      </c>
    </row>
    <row r="596" spans="1:18">
      <c r="A596" t="s">
        <v>842</v>
      </c>
      <c r="B596" s="2">
        <v>46130</v>
      </c>
      <c r="C596" s="3">
        <v>0.843055555555556</v>
      </c>
      <c r="D596" t="s">
        <v>91</v>
      </c>
      <c r="E596">
        <v>257.69</v>
      </c>
      <c r="F596" t="s">
        <v>29</v>
      </c>
      <c r="G596" t="s">
        <v>48</v>
      </c>
      <c r="H596" t="s">
        <v>5</v>
      </c>
      <c r="I596" t="s">
        <v>15</v>
      </c>
      <c r="J596" t="s">
        <v>19</v>
      </c>
      <c r="K596">
        <v>34</v>
      </c>
      <c r="L596" t="s">
        <v>49</v>
      </c>
      <c r="M596">
        <v>0</v>
      </c>
      <c r="N596">
        <f t="shared" si="39"/>
        <v>1</v>
      </c>
      <c r="P596" s="4">
        <f t="shared" si="36"/>
        <v>20</v>
      </c>
      <c r="Q596" s="4" t="str">
        <f t="shared" si="37"/>
        <v>Late Night</v>
      </c>
      <c r="R596" s="4" t="str">
        <f t="shared" si="38"/>
        <v>Low</v>
      </c>
    </row>
    <row r="597" spans="1:18">
      <c r="A597" t="s">
        <v>843</v>
      </c>
      <c r="B597" s="2">
        <v>46130</v>
      </c>
      <c r="C597" s="3">
        <v>0.956944444444444</v>
      </c>
      <c r="D597" t="s">
        <v>230</v>
      </c>
      <c r="E597">
        <v>306.07</v>
      </c>
      <c r="F597" t="s">
        <v>29</v>
      </c>
      <c r="G597" t="s">
        <v>48</v>
      </c>
      <c r="H597" t="s">
        <v>3</v>
      </c>
      <c r="I597" t="s">
        <v>15</v>
      </c>
      <c r="J597" t="s">
        <v>21</v>
      </c>
      <c r="K597">
        <v>32</v>
      </c>
      <c r="L597" t="s">
        <v>49</v>
      </c>
      <c r="M597">
        <v>0</v>
      </c>
      <c r="N597">
        <f t="shared" si="39"/>
        <v>1</v>
      </c>
      <c r="P597" s="4">
        <f t="shared" si="36"/>
        <v>22</v>
      </c>
      <c r="Q597" s="4" t="str">
        <f t="shared" si="37"/>
        <v>Late Night</v>
      </c>
      <c r="R597" s="4" t="str">
        <f t="shared" si="38"/>
        <v>Low</v>
      </c>
    </row>
    <row r="598" spans="1:18">
      <c r="A598" t="s">
        <v>844</v>
      </c>
      <c r="B598" s="2">
        <v>46130</v>
      </c>
      <c r="C598" s="3">
        <v>0.642361111111111</v>
      </c>
      <c r="D598" t="s">
        <v>464</v>
      </c>
      <c r="E598">
        <v>183.69</v>
      </c>
      <c r="F598" t="s">
        <v>31</v>
      </c>
      <c r="G598" t="s">
        <v>54</v>
      </c>
      <c r="H598" t="s">
        <v>7</v>
      </c>
      <c r="I598" t="s">
        <v>15</v>
      </c>
      <c r="J598" t="s">
        <v>19</v>
      </c>
      <c r="K598">
        <v>33</v>
      </c>
      <c r="L598" t="s">
        <v>49</v>
      </c>
      <c r="M598">
        <v>0</v>
      </c>
      <c r="N598">
        <f t="shared" si="39"/>
        <v>1</v>
      </c>
      <c r="P598" s="4">
        <f t="shared" si="36"/>
        <v>15</v>
      </c>
      <c r="Q598" s="4" t="str">
        <f t="shared" si="37"/>
        <v>Late Night</v>
      </c>
      <c r="R598" s="4" t="str">
        <f t="shared" si="38"/>
        <v>Low</v>
      </c>
    </row>
    <row r="599" spans="1:18">
      <c r="A599" t="s">
        <v>845</v>
      </c>
      <c r="B599" s="2">
        <v>46130</v>
      </c>
      <c r="C599" s="3">
        <v>0.277777777777778</v>
      </c>
      <c r="D599" t="s">
        <v>176</v>
      </c>
      <c r="E599">
        <v>124.52</v>
      </c>
      <c r="F599" t="s">
        <v>31</v>
      </c>
      <c r="G599" t="s">
        <v>71</v>
      </c>
      <c r="H599" t="s">
        <v>5</v>
      </c>
      <c r="I599" t="s">
        <v>15</v>
      </c>
      <c r="J599" t="s">
        <v>19</v>
      </c>
      <c r="K599">
        <v>32</v>
      </c>
      <c r="L599" t="s">
        <v>49</v>
      </c>
      <c r="M599">
        <v>0</v>
      </c>
      <c r="N599">
        <f t="shared" si="39"/>
        <v>1</v>
      </c>
      <c r="P599" s="4">
        <f t="shared" si="36"/>
        <v>6</v>
      </c>
      <c r="Q599" s="4" t="str">
        <f t="shared" si="37"/>
        <v>Late Night</v>
      </c>
      <c r="R599" s="4" t="str">
        <f t="shared" si="38"/>
        <v>Low</v>
      </c>
    </row>
    <row r="600" spans="1:18">
      <c r="A600" t="s">
        <v>846</v>
      </c>
      <c r="B600" s="2">
        <v>46130</v>
      </c>
      <c r="C600" s="3">
        <v>0.530555555555556</v>
      </c>
      <c r="D600" t="s">
        <v>424</v>
      </c>
      <c r="E600">
        <v>20</v>
      </c>
      <c r="F600" t="s">
        <v>31</v>
      </c>
      <c r="G600" t="s">
        <v>48</v>
      </c>
      <c r="H600" t="s">
        <v>6</v>
      </c>
      <c r="I600" t="s">
        <v>16</v>
      </c>
      <c r="J600" t="s">
        <v>18</v>
      </c>
      <c r="K600">
        <v>51</v>
      </c>
      <c r="L600" t="s">
        <v>49</v>
      </c>
      <c r="M600">
        <v>0</v>
      </c>
      <c r="N600">
        <f t="shared" si="39"/>
        <v>1</v>
      </c>
      <c r="P600" s="4">
        <f t="shared" si="36"/>
        <v>12</v>
      </c>
      <c r="Q600" s="4" t="str">
        <f t="shared" si="37"/>
        <v>Late Night</v>
      </c>
      <c r="R600" s="4" t="str">
        <f t="shared" si="38"/>
        <v>Low</v>
      </c>
    </row>
    <row r="601" spans="1:18">
      <c r="A601" t="s">
        <v>847</v>
      </c>
      <c r="B601" s="2">
        <v>46130</v>
      </c>
      <c r="C601" s="3">
        <v>0.850694444444444</v>
      </c>
      <c r="D601" t="s">
        <v>617</v>
      </c>
      <c r="E601">
        <v>371.58</v>
      </c>
      <c r="F601" t="s">
        <v>29</v>
      </c>
      <c r="G601" t="s">
        <v>59</v>
      </c>
      <c r="H601" t="s">
        <v>8</v>
      </c>
      <c r="I601" t="s">
        <v>15</v>
      </c>
      <c r="J601" t="s">
        <v>18</v>
      </c>
      <c r="K601">
        <v>28</v>
      </c>
      <c r="L601" t="s">
        <v>159</v>
      </c>
      <c r="M601">
        <v>0</v>
      </c>
      <c r="N601">
        <f t="shared" si="39"/>
        <v>1</v>
      </c>
      <c r="P601" s="4">
        <f t="shared" si="36"/>
        <v>20</v>
      </c>
      <c r="Q601" s="4" t="str">
        <f t="shared" si="37"/>
        <v>Late Night</v>
      </c>
      <c r="R601" s="4" t="str">
        <f t="shared" si="38"/>
        <v>Low</v>
      </c>
    </row>
    <row r="602" spans="1:18">
      <c r="A602" t="s">
        <v>848</v>
      </c>
      <c r="B602" s="2">
        <v>46131</v>
      </c>
      <c r="C602" s="3">
        <v>0.406944444444444</v>
      </c>
      <c r="D602" t="s">
        <v>110</v>
      </c>
      <c r="E602">
        <v>513.6</v>
      </c>
      <c r="F602" t="s">
        <v>29</v>
      </c>
      <c r="G602" t="s">
        <v>48</v>
      </c>
      <c r="H602" t="s">
        <v>5</v>
      </c>
      <c r="I602" t="s">
        <v>15</v>
      </c>
      <c r="J602" t="s">
        <v>22</v>
      </c>
      <c r="K602">
        <v>18</v>
      </c>
      <c r="L602" t="s">
        <v>49</v>
      </c>
      <c r="M602">
        <v>0</v>
      </c>
      <c r="N602">
        <f t="shared" si="39"/>
        <v>1</v>
      </c>
      <c r="P602" s="4">
        <f t="shared" si="36"/>
        <v>9</v>
      </c>
      <c r="Q602" s="4" t="str">
        <f t="shared" si="37"/>
        <v>Late Night</v>
      </c>
      <c r="R602" s="4" t="str">
        <f t="shared" si="38"/>
        <v>Low</v>
      </c>
    </row>
    <row r="603" spans="1:18">
      <c r="A603" t="s">
        <v>849</v>
      </c>
      <c r="B603" s="2">
        <v>46131</v>
      </c>
      <c r="C603" s="3">
        <v>0.271527777777778</v>
      </c>
      <c r="D603" t="s">
        <v>502</v>
      </c>
      <c r="E603">
        <v>56.76</v>
      </c>
      <c r="F603" t="s">
        <v>29</v>
      </c>
      <c r="G603" t="s">
        <v>48</v>
      </c>
      <c r="H603" t="s">
        <v>8</v>
      </c>
      <c r="I603" t="s">
        <v>14</v>
      </c>
      <c r="J603" t="s">
        <v>24</v>
      </c>
      <c r="K603">
        <v>32</v>
      </c>
      <c r="L603" t="s">
        <v>49</v>
      </c>
      <c r="M603">
        <v>0</v>
      </c>
      <c r="N603">
        <f t="shared" si="39"/>
        <v>1</v>
      </c>
      <c r="P603" s="4">
        <f t="shared" si="36"/>
        <v>6</v>
      </c>
      <c r="Q603" s="4" t="str">
        <f t="shared" si="37"/>
        <v>Late Night</v>
      </c>
      <c r="R603" s="4" t="str">
        <f t="shared" si="38"/>
        <v>Low</v>
      </c>
    </row>
    <row r="604" spans="1:18">
      <c r="A604" t="s">
        <v>850</v>
      </c>
      <c r="B604" s="2">
        <v>46131</v>
      </c>
      <c r="C604" s="3">
        <v>0.547916666666667</v>
      </c>
      <c r="D604" t="s">
        <v>247</v>
      </c>
      <c r="E604">
        <v>332.01</v>
      </c>
      <c r="F604" t="s">
        <v>28</v>
      </c>
      <c r="G604" t="s">
        <v>66</v>
      </c>
      <c r="H604" t="s">
        <v>7</v>
      </c>
      <c r="I604" t="s">
        <v>16</v>
      </c>
      <c r="J604" t="s">
        <v>24</v>
      </c>
      <c r="K604">
        <v>43</v>
      </c>
      <c r="L604" t="s">
        <v>49</v>
      </c>
      <c r="M604">
        <v>0</v>
      </c>
      <c r="N604">
        <f t="shared" si="39"/>
        <v>1</v>
      </c>
      <c r="P604" s="4">
        <f t="shared" si="36"/>
        <v>13</v>
      </c>
      <c r="Q604" s="4" t="str">
        <f t="shared" si="37"/>
        <v>Late Night</v>
      </c>
      <c r="R604" s="4" t="str">
        <f t="shared" si="38"/>
        <v>Low</v>
      </c>
    </row>
    <row r="605" spans="1:18">
      <c r="A605" t="s">
        <v>851</v>
      </c>
      <c r="B605" s="2">
        <v>46131</v>
      </c>
      <c r="C605" s="3">
        <v>0.177083333333333</v>
      </c>
      <c r="D605" t="s">
        <v>457</v>
      </c>
      <c r="E605">
        <v>100.33</v>
      </c>
      <c r="F605" t="s">
        <v>31</v>
      </c>
      <c r="G605" t="s">
        <v>59</v>
      </c>
      <c r="H605" t="s">
        <v>10</v>
      </c>
      <c r="I605" t="s">
        <v>15</v>
      </c>
      <c r="J605" t="s">
        <v>24</v>
      </c>
      <c r="K605">
        <v>21</v>
      </c>
      <c r="L605" t="s">
        <v>168</v>
      </c>
      <c r="M605">
        <v>1</v>
      </c>
      <c r="N605">
        <f t="shared" si="39"/>
        <v>1</v>
      </c>
      <c r="P605" s="4">
        <f t="shared" si="36"/>
        <v>4</v>
      </c>
      <c r="Q605" s="4" t="str">
        <f t="shared" si="37"/>
        <v>Late Night</v>
      </c>
      <c r="R605" s="4" t="str">
        <f t="shared" si="38"/>
        <v>Low</v>
      </c>
    </row>
    <row r="606" spans="1:18">
      <c r="A606" t="s">
        <v>852</v>
      </c>
      <c r="B606" s="2">
        <v>46131</v>
      </c>
      <c r="C606" s="3">
        <v>0.0875</v>
      </c>
      <c r="D606" t="s">
        <v>143</v>
      </c>
      <c r="E606">
        <v>125.65</v>
      </c>
      <c r="F606" t="s">
        <v>32</v>
      </c>
      <c r="G606" t="s">
        <v>48</v>
      </c>
      <c r="H606" t="s">
        <v>9</v>
      </c>
      <c r="I606" t="s">
        <v>16</v>
      </c>
      <c r="J606" t="s">
        <v>20</v>
      </c>
      <c r="K606">
        <v>60</v>
      </c>
      <c r="L606" t="s">
        <v>168</v>
      </c>
      <c r="M606">
        <v>1</v>
      </c>
      <c r="N606">
        <f t="shared" si="39"/>
        <v>1</v>
      </c>
      <c r="P606" s="4">
        <f t="shared" si="36"/>
        <v>2</v>
      </c>
      <c r="Q606" s="4" t="str">
        <f t="shared" si="37"/>
        <v>Late Night</v>
      </c>
      <c r="R606" s="4" t="str">
        <f t="shared" si="38"/>
        <v>Low</v>
      </c>
    </row>
    <row r="607" spans="1:18">
      <c r="A607" t="s">
        <v>853</v>
      </c>
      <c r="B607" s="2">
        <v>46132</v>
      </c>
      <c r="C607" s="3">
        <v>0.927777777777778</v>
      </c>
      <c r="D607" t="s">
        <v>188</v>
      </c>
      <c r="E607">
        <v>672.34</v>
      </c>
      <c r="F607" t="s">
        <v>29</v>
      </c>
      <c r="G607" t="s">
        <v>54</v>
      </c>
      <c r="H607" t="s">
        <v>7</v>
      </c>
      <c r="I607" t="s">
        <v>15</v>
      </c>
      <c r="J607" t="s">
        <v>21</v>
      </c>
      <c r="K607">
        <v>22</v>
      </c>
      <c r="L607" t="s">
        <v>49</v>
      </c>
      <c r="M607">
        <v>0</v>
      </c>
      <c r="N607">
        <f t="shared" si="39"/>
        <v>1</v>
      </c>
      <c r="P607" s="4">
        <f t="shared" si="36"/>
        <v>22</v>
      </c>
      <c r="Q607" s="4" t="str">
        <f t="shared" si="37"/>
        <v>Late Night</v>
      </c>
      <c r="R607" s="4" t="str">
        <f t="shared" si="38"/>
        <v>Low</v>
      </c>
    </row>
    <row r="608" spans="1:18">
      <c r="A608" t="s">
        <v>854</v>
      </c>
      <c r="B608" s="2">
        <v>46132</v>
      </c>
      <c r="C608" s="3">
        <v>0.431944444444444</v>
      </c>
      <c r="D608" t="s">
        <v>526</v>
      </c>
      <c r="E608">
        <v>67.31</v>
      </c>
      <c r="F608" t="s">
        <v>31</v>
      </c>
      <c r="G608" t="s">
        <v>48</v>
      </c>
      <c r="H608" t="s">
        <v>3</v>
      </c>
      <c r="I608" t="s">
        <v>14</v>
      </c>
      <c r="J608" t="s">
        <v>24</v>
      </c>
      <c r="K608">
        <v>52</v>
      </c>
      <c r="L608" t="s">
        <v>49</v>
      </c>
      <c r="M608">
        <v>0</v>
      </c>
      <c r="N608">
        <f t="shared" si="39"/>
        <v>1</v>
      </c>
      <c r="P608" s="4">
        <f t="shared" si="36"/>
        <v>10</v>
      </c>
      <c r="Q608" s="4" t="str">
        <f t="shared" si="37"/>
        <v>Late Night</v>
      </c>
      <c r="R608" s="4" t="str">
        <f t="shared" si="38"/>
        <v>Low</v>
      </c>
    </row>
    <row r="609" spans="1:18">
      <c r="A609" t="s">
        <v>855</v>
      </c>
      <c r="B609" s="2">
        <v>46132</v>
      </c>
      <c r="C609" s="3">
        <v>0.434027777777778</v>
      </c>
      <c r="D609" t="s">
        <v>314</v>
      </c>
      <c r="E609">
        <v>67.21</v>
      </c>
      <c r="F609" t="s">
        <v>32</v>
      </c>
      <c r="G609" t="s">
        <v>54</v>
      </c>
      <c r="H609" t="s">
        <v>9</v>
      </c>
      <c r="I609" t="s">
        <v>15</v>
      </c>
      <c r="J609" t="s">
        <v>21</v>
      </c>
      <c r="K609">
        <v>30</v>
      </c>
      <c r="L609" t="s">
        <v>49</v>
      </c>
      <c r="M609">
        <v>0</v>
      </c>
      <c r="N609">
        <f t="shared" si="39"/>
        <v>1</v>
      </c>
      <c r="P609" s="4">
        <f t="shared" si="36"/>
        <v>10</v>
      </c>
      <c r="Q609" s="4" t="str">
        <f t="shared" si="37"/>
        <v>Late Night</v>
      </c>
      <c r="R609" s="4" t="str">
        <f t="shared" si="38"/>
        <v>Low</v>
      </c>
    </row>
    <row r="610" spans="1:18">
      <c r="A610" t="s">
        <v>856</v>
      </c>
      <c r="B610" s="2">
        <v>46132</v>
      </c>
      <c r="C610" s="3">
        <v>0.722222222222222</v>
      </c>
      <c r="D610" t="s">
        <v>216</v>
      </c>
      <c r="E610">
        <v>1101.95</v>
      </c>
      <c r="F610" t="s">
        <v>29</v>
      </c>
      <c r="G610" t="s">
        <v>59</v>
      </c>
      <c r="H610" t="s">
        <v>6</v>
      </c>
      <c r="I610" t="s">
        <v>15</v>
      </c>
      <c r="J610" t="s">
        <v>22</v>
      </c>
      <c r="K610">
        <v>27</v>
      </c>
      <c r="L610" t="s">
        <v>49</v>
      </c>
      <c r="M610">
        <v>0</v>
      </c>
      <c r="N610">
        <f t="shared" si="39"/>
        <v>1</v>
      </c>
      <c r="P610" s="4">
        <f t="shared" si="36"/>
        <v>17</v>
      </c>
      <c r="Q610" s="4" t="str">
        <f t="shared" si="37"/>
        <v>Late Night</v>
      </c>
      <c r="R610" s="4" t="str">
        <f t="shared" si="38"/>
        <v>Medium</v>
      </c>
    </row>
    <row r="611" spans="1:18">
      <c r="A611" t="s">
        <v>857</v>
      </c>
      <c r="B611" s="2">
        <v>46132</v>
      </c>
      <c r="C611" s="3">
        <v>0.597916666666667</v>
      </c>
      <c r="D611" t="s">
        <v>121</v>
      </c>
      <c r="E611">
        <v>156.72</v>
      </c>
      <c r="F611" t="s">
        <v>29</v>
      </c>
      <c r="G611" t="s">
        <v>48</v>
      </c>
      <c r="H611" t="s">
        <v>4</v>
      </c>
      <c r="I611" t="s">
        <v>15</v>
      </c>
      <c r="J611" t="s">
        <v>19</v>
      </c>
      <c r="K611">
        <v>28</v>
      </c>
      <c r="L611" t="s">
        <v>49</v>
      </c>
      <c r="M611">
        <v>0</v>
      </c>
      <c r="N611">
        <f t="shared" si="39"/>
        <v>1</v>
      </c>
      <c r="P611" s="4">
        <f t="shared" si="36"/>
        <v>14</v>
      </c>
      <c r="Q611" s="4" t="str">
        <f t="shared" si="37"/>
        <v>Late Night</v>
      </c>
      <c r="R611" s="4" t="str">
        <f t="shared" si="38"/>
        <v>Low</v>
      </c>
    </row>
    <row r="612" spans="1:18">
      <c r="A612" t="s">
        <v>858</v>
      </c>
      <c r="B612" s="2">
        <v>46132</v>
      </c>
      <c r="C612" s="3">
        <v>0.497916666666667</v>
      </c>
      <c r="D612" t="s">
        <v>266</v>
      </c>
      <c r="E612">
        <v>630.52</v>
      </c>
      <c r="F612" t="s">
        <v>29</v>
      </c>
      <c r="G612" t="s">
        <v>48</v>
      </c>
      <c r="H612" t="s">
        <v>8</v>
      </c>
      <c r="I612" t="s">
        <v>15</v>
      </c>
      <c r="J612" t="s">
        <v>24</v>
      </c>
      <c r="K612">
        <v>35</v>
      </c>
      <c r="L612" t="s">
        <v>49</v>
      </c>
      <c r="M612">
        <v>0</v>
      </c>
      <c r="N612">
        <f t="shared" si="39"/>
        <v>1</v>
      </c>
      <c r="P612" s="4">
        <f t="shared" si="36"/>
        <v>11</v>
      </c>
      <c r="Q612" s="4" t="str">
        <f t="shared" si="37"/>
        <v>Late Night</v>
      </c>
      <c r="R612" s="4" t="str">
        <f t="shared" si="38"/>
        <v>Low</v>
      </c>
    </row>
    <row r="613" spans="1:18">
      <c r="A613" t="s">
        <v>859</v>
      </c>
      <c r="B613" s="2">
        <v>46133</v>
      </c>
      <c r="C613" s="3">
        <v>0.3375</v>
      </c>
      <c r="D613" t="s">
        <v>172</v>
      </c>
      <c r="E613">
        <v>36.65</v>
      </c>
      <c r="F613" t="s">
        <v>30</v>
      </c>
      <c r="G613" t="s">
        <v>54</v>
      </c>
      <c r="I613" t="s">
        <v>15</v>
      </c>
      <c r="J613" t="s">
        <v>22</v>
      </c>
      <c r="K613">
        <v>51</v>
      </c>
      <c r="L613" t="s">
        <v>49</v>
      </c>
      <c r="M613">
        <v>0</v>
      </c>
      <c r="N613">
        <f t="shared" si="39"/>
        <v>1</v>
      </c>
      <c r="O613" t="s">
        <v>43</v>
      </c>
      <c r="P613" s="4">
        <f t="shared" si="36"/>
        <v>8</v>
      </c>
      <c r="Q613" s="4" t="str">
        <f t="shared" si="37"/>
        <v>Late Night</v>
      </c>
      <c r="R613" s="4" t="str">
        <f t="shared" si="38"/>
        <v>Low</v>
      </c>
    </row>
    <row r="614" spans="1:18">
      <c r="A614" t="s">
        <v>860</v>
      </c>
      <c r="B614" s="2">
        <v>46133</v>
      </c>
      <c r="C614" s="3">
        <v>0.384027777777778</v>
      </c>
      <c r="D614" t="s">
        <v>61</v>
      </c>
      <c r="E614">
        <v>39.7</v>
      </c>
      <c r="F614" t="s">
        <v>29</v>
      </c>
      <c r="G614" t="s">
        <v>71</v>
      </c>
      <c r="H614" t="s">
        <v>8</v>
      </c>
      <c r="I614" t="s">
        <v>15</v>
      </c>
      <c r="J614" t="s">
        <v>24</v>
      </c>
      <c r="K614">
        <v>56</v>
      </c>
      <c r="L614" t="s">
        <v>49</v>
      </c>
      <c r="M614">
        <v>0</v>
      </c>
      <c r="N614">
        <f t="shared" si="39"/>
        <v>1</v>
      </c>
      <c r="P614" s="4">
        <f t="shared" si="36"/>
        <v>9</v>
      </c>
      <c r="Q614" s="4" t="str">
        <f t="shared" si="37"/>
        <v>Late Night</v>
      </c>
      <c r="R614" s="4" t="str">
        <f t="shared" si="38"/>
        <v>Low</v>
      </c>
    </row>
    <row r="615" spans="1:18">
      <c r="A615" t="s">
        <v>861</v>
      </c>
      <c r="B615" s="2">
        <v>46133</v>
      </c>
      <c r="C615" s="3">
        <v>0.468055555555556</v>
      </c>
      <c r="D615" t="s">
        <v>112</v>
      </c>
      <c r="E615">
        <v>72.75</v>
      </c>
      <c r="F615" t="s">
        <v>31</v>
      </c>
      <c r="G615" t="s">
        <v>71</v>
      </c>
      <c r="H615" t="s">
        <v>7</v>
      </c>
      <c r="I615" t="s">
        <v>15</v>
      </c>
      <c r="J615" t="s">
        <v>18</v>
      </c>
      <c r="K615">
        <v>58</v>
      </c>
      <c r="L615" t="s">
        <v>49</v>
      </c>
      <c r="M615">
        <v>0</v>
      </c>
      <c r="N615">
        <f t="shared" si="39"/>
        <v>1</v>
      </c>
      <c r="P615" s="4">
        <f t="shared" si="36"/>
        <v>11</v>
      </c>
      <c r="Q615" s="4" t="str">
        <f t="shared" si="37"/>
        <v>Late Night</v>
      </c>
      <c r="R615" s="4" t="str">
        <f t="shared" si="38"/>
        <v>Low</v>
      </c>
    </row>
    <row r="616" spans="1:18">
      <c r="A616" t="s">
        <v>862</v>
      </c>
      <c r="B616" s="2">
        <v>46133</v>
      </c>
      <c r="C616" s="3">
        <v>0.702777777777778</v>
      </c>
      <c r="D616" t="s">
        <v>630</v>
      </c>
      <c r="E616">
        <v>112</v>
      </c>
      <c r="F616" t="s">
        <v>31</v>
      </c>
      <c r="G616" t="s">
        <v>48</v>
      </c>
      <c r="H616" t="s">
        <v>8</v>
      </c>
      <c r="I616" t="s">
        <v>14</v>
      </c>
      <c r="J616" t="s">
        <v>23</v>
      </c>
      <c r="K616">
        <v>59</v>
      </c>
      <c r="L616" t="s">
        <v>49</v>
      </c>
      <c r="M616">
        <v>0</v>
      </c>
      <c r="N616">
        <f t="shared" si="39"/>
        <v>1</v>
      </c>
      <c r="P616" s="4">
        <f t="shared" si="36"/>
        <v>16</v>
      </c>
      <c r="Q616" s="4" t="str">
        <f t="shared" si="37"/>
        <v>Late Night</v>
      </c>
      <c r="R616" s="4" t="str">
        <f t="shared" si="38"/>
        <v>Low</v>
      </c>
    </row>
    <row r="617" spans="1:18">
      <c r="A617" t="s">
        <v>863</v>
      </c>
      <c r="B617" s="2">
        <v>46133</v>
      </c>
      <c r="C617" s="3">
        <v>0.2125</v>
      </c>
      <c r="D617" t="s">
        <v>505</v>
      </c>
      <c r="E617">
        <v>44.55</v>
      </c>
      <c r="F617" t="s">
        <v>32</v>
      </c>
      <c r="G617" t="s">
        <v>66</v>
      </c>
      <c r="H617" t="s">
        <v>10</v>
      </c>
      <c r="I617" t="s">
        <v>15</v>
      </c>
      <c r="J617" t="s">
        <v>22</v>
      </c>
      <c r="K617">
        <v>40</v>
      </c>
      <c r="L617" t="s">
        <v>49</v>
      </c>
      <c r="M617">
        <v>0</v>
      </c>
      <c r="N617">
        <f t="shared" si="39"/>
        <v>1</v>
      </c>
      <c r="P617" s="4">
        <f t="shared" si="36"/>
        <v>5</v>
      </c>
      <c r="Q617" s="4" t="str">
        <f t="shared" si="37"/>
        <v>Late Night</v>
      </c>
      <c r="R617" s="4" t="str">
        <f t="shared" si="38"/>
        <v>Low</v>
      </c>
    </row>
    <row r="618" spans="1:18">
      <c r="A618" t="s">
        <v>864</v>
      </c>
      <c r="B618" s="2">
        <v>46133</v>
      </c>
      <c r="C618" s="3">
        <v>0.255555555555556</v>
      </c>
      <c r="D618" t="s">
        <v>368</v>
      </c>
      <c r="E618">
        <v>262.25</v>
      </c>
      <c r="F618" t="s">
        <v>31</v>
      </c>
      <c r="G618" t="s">
        <v>54</v>
      </c>
      <c r="H618" t="s">
        <v>8</v>
      </c>
      <c r="I618" t="s">
        <v>15</v>
      </c>
      <c r="J618" t="s">
        <v>24</v>
      </c>
      <c r="K618">
        <v>24</v>
      </c>
      <c r="L618" t="s">
        <v>49</v>
      </c>
      <c r="M618">
        <v>0</v>
      </c>
      <c r="N618">
        <f t="shared" si="39"/>
        <v>1</v>
      </c>
      <c r="P618" s="4">
        <f t="shared" si="36"/>
        <v>6</v>
      </c>
      <c r="Q618" s="4" t="str">
        <f t="shared" si="37"/>
        <v>Late Night</v>
      </c>
      <c r="R618" s="4" t="str">
        <f t="shared" si="38"/>
        <v>Low</v>
      </c>
    </row>
    <row r="619" spans="1:18">
      <c r="A619" t="s">
        <v>865</v>
      </c>
      <c r="B619" s="2">
        <v>46134</v>
      </c>
      <c r="C619" s="3">
        <v>0.576388888888889</v>
      </c>
      <c r="D619" t="s">
        <v>84</v>
      </c>
      <c r="E619">
        <v>279.95</v>
      </c>
      <c r="F619" t="s">
        <v>31</v>
      </c>
      <c r="G619" t="s">
        <v>54</v>
      </c>
      <c r="H619" t="s">
        <v>3</v>
      </c>
      <c r="I619" t="s">
        <v>15</v>
      </c>
      <c r="J619" t="s">
        <v>23</v>
      </c>
      <c r="K619">
        <v>56</v>
      </c>
      <c r="L619" t="s">
        <v>49</v>
      </c>
      <c r="M619">
        <v>0</v>
      </c>
      <c r="N619">
        <f t="shared" si="39"/>
        <v>1</v>
      </c>
      <c r="P619" s="4">
        <f t="shared" si="36"/>
        <v>13</v>
      </c>
      <c r="Q619" s="4" t="str">
        <f t="shared" si="37"/>
        <v>Late Night</v>
      </c>
      <c r="R619" s="4" t="str">
        <f t="shared" si="38"/>
        <v>Low</v>
      </c>
    </row>
    <row r="620" spans="1:18">
      <c r="A620" t="s">
        <v>866</v>
      </c>
      <c r="B620" s="2">
        <v>46134</v>
      </c>
      <c r="C620" s="3">
        <v>0.532638888888889</v>
      </c>
      <c r="D620" t="s">
        <v>390</v>
      </c>
      <c r="E620">
        <v>73.84</v>
      </c>
      <c r="F620" t="s">
        <v>28</v>
      </c>
      <c r="G620" t="s">
        <v>66</v>
      </c>
      <c r="H620" t="s">
        <v>6</v>
      </c>
      <c r="I620" t="s">
        <v>15</v>
      </c>
      <c r="J620" t="s">
        <v>22</v>
      </c>
      <c r="K620">
        <v>20</v>
      </c>
      <c r="L620" t="s">
        <v>49</v>
      </c>
      <c r="M620">
        <v>0</v>
      </c>
      <c r="N620">
        <f t="shared" si="39"/>
        <v>1</v>
      </c>
      <c r="P620" s="4">
        <f t="shared" si="36"/>
        <v>12</v>
      </c>
      <c r="Q620" s="4" t="str">
        <f t="shared" si="37"/>
        <v>Late Night</v>
      </c>
      <c r="R620" s="4" t="str">
        <f t="shared" si="38"/>
        <v>Low</v>
      </c>
    </row>
    <row r="621" spans="1:18">
      <c r="A621" t="s">
        <v>867</v>
      </c>
      <c r="B621" s="2">
        <v>46134</v>
      </c>
      <c r="C621" s="3">
        <v>0.296527777777778</v>
      </c>
      <c r="D621" t="s">
        <v>813</v>
      </c>
      <c r="E621">
        <v>79.95</v>
      </c>
      <c r="F621" t="s">
        <v>28</v>
      </c>
      <c r="G621" t="s">
        <v>71</v>
      </c>
      <c r="H621" t="s">
        <v>8</v>
      </c>
      <c r="I621" t="s">
        <v>14</v>
      </c>
      <c r="J621" t="s">
        <v>20</v>
      </c>
      <c r="K621">
        <v>29</v>
      </c>
      <c r="L621" t="s">
        <v>49</v>
      </c>
      <c r="M621">
        <v>0</v>
      </c>
      <c r="N621">
        <f t="shared" si="39"/>
        <v>1</v>
      </c>
      <c r="P621" s="4">
        <f t="shared" si="36"/>
        <v>7</v>
      </c>
      <c r="Q621" s="4" t="str">
        <f t="shared" si="37"/>
        <v>Late Night</v>
      </c>
      <c r="R621" s="4" t="str">
        <f t="shared" si="38"/>
        <v>Low</v>
      </c>
    </row>
    <row r="622" spans="1:18">
      <c r="A622" t="s">
        <v>868</v>
      </c>
      <c r="B622" s="2">
        <v>46134</v>
      </c>
      <c r="C622" s="3">
        <v>0.409027777777778</v>
      </c>
      <c r="D622" t="s">
        <v>201</v>
      </c>
      <c r="E622">
        <v>91.21</v>
      </c>
      <c r="F622" t="s">
        <v>29</v>
      </c>
      <c r="G622" t="s">
        <v>71</v>
      </c>
      <c r="H622" t="s">
        <v>8</v>
      </c>
      <c r="I622" t="s">
        <v>14</v>
      </c>
      <c r="J622" t="s">
        <v>24</v>
      </c>
      <c r="K622">
        <v>24</v>
      </c>
      <c r="L622" t="s">
        <v>49</v>
      </c>
      <c r="M622">
        <v>0</v>
      </c>
      <c r="N622">
        <f t="shared" si="39"/>
        <v>1</v>
      </c>
      <c r="P622" s="4">
        <f t="shared" si="36"/>
        <v>9</v>
      </c>
      <c r="Q622" s="4" t="str">
        <f t="shared" si="37"/>
        <v>Late Night</v>
      </c>
      <c r="R622" s="4" t="str">
        <f t="shared" si="38"/>
        <v>Low</v>
      </c>
    </row>
    <row r="623" spans="1:18">
      <c r="A623" t="s">
        <v>869</v>
      </c>
      <c r="B623" s="2">
        <v>46134</v>
      </c>
      <c r="C623" s="3">
        <v>0.373611111111111</v>
      </c>
      <c r="D623" t="s">
        <v>477</v>
      </c>
      <c r="E623">
        <v>56.55</v>
      </c>
      <c r="F623" t="s">
        <v>32</v>
      </c>
      <c r="G623" t="s">
        <v>59</v>
      </c>
      <c r="H623" t="s">
        <v>9</v>
      </c>
      <c r="I623" t="s">
        <v>15</v>
      </c>
      <c r="J623" t="s">
        <v>20</v>
      </c>
      <c r="K623">
        <v>43</v>
      </c>
      <c r="L623" t="s">
        <v>159</v>
      </c>
      <c r="M623">
        <v>0</v>
      </c>
      <c r="N623">
        <f t="shared" si="39"/>
        <v>1</v>
      </c>
      <c r="P623" s="4">
        <f t="shared" si="36"/>
        <v>8</v>
      </c>
      <c r="Q623" s="4" t="str">
        <f t="shared" si="37"/>
        <v>Late Night</v>
      </c>
      <c r="R623" s="4" t="str">
        <f t="shared" si="38"/>
        <v>Low</v>
      </c>
    </row>
    <row r="624" spans="1:18">
      <c r="A624" t="s">
        <v>870</v>
      </c>
      <c r="B624" s="2">
        <v>46135</v>
      </c>
      <c r="C624" s="3">
        <v>0.723611111111111</v>
      </c>
      <c r="D624" t="s">
        <v>93</v>
      </c>
      <c r="E624">
        <v>20</v>
      </c>
      <c r="F624" t="s">
        <v>31</v>
      </c>
      <c r="G624" t="s">
        <v>54</v>
      </c>
      <c r="H624" t="s">
        <v>6</v>
      </c>
      <c r="I624" t="s">
        <v>15</v>
      </c>
      <c r="J624" t="s">
        <v>18</v>
      </c>
      <c r="K624">
        <v>50</v>
      </c>
      <c r="L624" t="s">
        <v>159</v>
      </c>
      <c r="M624">
        <v>0</v>
      </c>
      <c r="N624">
        <f t="shared" si="39"/>
        <v>1</v>
      </c>
      <c r="P624" s="4">
        <f t="shared" si="36"/>
        <v>17</v>
      </c>
      <c r="Q624" s="4" t="str">
        <f t="shared" si="37"/>
        <v>Late Night</v>
      </c>
      <c r="R624" s="4" t="str">
        <f t="shared" si="38"/>
        <v>Low</v>
      </c>
    </row>
    <row r="625" spans="1:18">
      <c r="A625" t="s">
        <v>871</v>
      </c>
      <c r="B625" s="2">
        <v>46135</v>
      </c>
      <c r="C625" s="3">
        <v>0.0611111111111111</v>
      </c>
      <c r="D625" t="s">
        <v>328</v>
      </c>
      <c r="E625">
        <v>166.49</v>
      </c>
      <c r="F625" t="s">
        <v>31</v>
      </c>
      <c r="G625" t="s">
        <v>66</v>
      </c>
      <c r="H625" t="s">
        <v>8</v>
      </c>
      <c r="I625" t="s">
        <v>14</v>
      </c>
      <c r="J625" t="s">
        <v>24</v>
      </c>
      <c r="K625">
        <v>54</v>
      </c>
      <c r="L625" t="s">
        <v>168</v>
      </c>
      <c r="M625">
        <v>1</v>
      </c>
      <c r="N625">
        <f t="shared" si="39"/>
        <v>1</v>
      </c>
      <c r="P625" s="4">
        <f t="shared" si="36"/>
        <v>1</v>
      </c>
      <c r="Q625" s="4" t="str">
        <f t="shared" si="37"/>
        <v>Late Night</v>
      </c>
      <c r="R625" s="4" t="str">
        <f t="shared" si="38"/>
        <v>Low</v>
      </c>
    </row>
    <row r="626" spans="1:18">
      <c r="A626" t="s">
        <v>872</v>
      </c>
      <c r="B626" s="2">
        <v>46135</v>
      </c>
      <c r="C626" s="3">
        <v>0.178472222222222</v>
      </c>
      <c r="D626" t="s">
        <v>321</v>
      </c>
      <c r="E626">
        <v>117.87</v>
      </c>
      <c r="F626" t="s">
        <v>31</v>
      </c>
      <c r="G626" t="s">
        <v>48</v>
      </c>
      <c r="H626" t="s">
        <v>7</v>
      </c>
      <c r="I626" t="s">
        <v>15</v>
      </c>
      <c r="J626" t="s">
        <v>19</v>
      </c>
      <c r="K626">
        <v>65</v>
      </c>
      <c r="L626" t="s">
        <v>49</v>
      </c>
      <c r="M626">
        <v>0</v>
      </c>
      <c r="N626">
        <f t="shared" si="39"/>
        <v>1</v>
      </c>
      <c r="P626" s="4">
        <f t="shared" si="36"/>
        <v>4</v>
      </c>
      <c r="Q626" s="4" t="str">
        <f t="shared" si="37"/>
        <v>Late Night</v>
      </c>
      <c r="R626" s="4" t="str">
        <f t="shared" si="38"/>
        <v>Low</v>
      </c>
    </row>
    <row r="627" spans="1:18">
      <c r="A627" t="s">
        <v>873</v>
      </c>
      <c r="B627" s="2">
        <v>46135</v>
      </c>
      <c r="C627" s="3">
        <v>0.1875</v>
      </c>
      <c r="D627" t="s">
        <v>282</v>
      </c>
      <c r="E627">
        <v>130.56</v>
      </c>
      <c r="F627" t="s">
        <v>30</v>
      </c>
      <c r="G627" t="s">
        <v>59</v>
      </c>
      <c r="H627" t="s">
        <v>5</v>
      </c>
      <c r="I627" t="s">
        <v>14</v>
      </c>
      <c r="J627" t="s">
        <v>18</v>
      </c>
      <c r="K627">
        <v>32</v>
      </c>
      <c r="L627" t="s">
        <v>49</v>
      </c>
      <c r="M627">
        <v>0</v>
      </c>
      <c r="N627">
        <f t="shared" si="39"/>
        <v>1</v>
      </c>
      <c r="P627" s="4">
        <f t="shared" si="36"/>
        <v>4</v>
      </c>
      <c r="Q627" s="4" t="str">
        <f t="shared" si="37"/>
        <v>Late Night</v>
      </c>
      <c r="R627" s="4" t="str">
        <f t="shared" si="38"/>
        <v>Low</v>
      </c>
    </row>
    <row r="628" spans="1:18">
      <c r="A628" t="s">
        <v>874</v>
      </c>
      <c r="B628" s="2">
        <v>46135</v>
      </c>
      <c r="C628" s="3">
        <v>0.228472222222222</v>
      </c>
      <c r="D628" t="s">
        <v>77</v>
      </c>
      <c r="E628">
        <v>65.9</v>
      </c>
      <c r="F628" t="s">
        <v>29</v>
      </c>
      <c r="G628" t="s">
        <v>54</v>
      </c>
      <c r="H628" t="s">
        <v>10</v>
      </c>
      <c r="I628" t="s">
        <v>15</v>
      </c>
      <c r="J628" t="s">
        <v>23</v>
      </c>
      <c r="K628">
        <v>19</v>
      </c>
      <c r="L628" t="s">
        <v>49</v>
      </c>
      <c r="M628">
        <v>0</v>
      </c>
      <c r="N628">
        <f t="shared" si="39"/>
        <v>1</v>
      </c>
      <c r="P628" s="4">
        <f t="shared" si="36"/>
        <v>5</v>
      </c>
      <c r="Q628" s="4" t="str">
        <f t="shared" si="37"/>
        <v>Late Night</v>
      </c>
      <c r="R628" s="4" t="str">
        <f t="shared" si="38"/>
        <v>Low</v>
      </c>
    </row>
    <row r="629" spans="1:18">
      <c r="A629" t="s">
        <v>875</v>
      </c>
      <c r="B629" s="2">
        <v>46135</v>
      </c>
      <c r="C629" s="3">
        <v>0.785416666666667</v>
      </c>
      <c r="D629" t="s">
        <v>392</v>
      </c>
      <c r="E629">
        <v>407.69</v>
      </c>
      <c r="F629" t="s">
        <v>31</v>
      </c>
      <c r="G629" t="s">
        <v>59</v>
      </c>
      <c r="H629" t="s">
        <v>7</v>
      </c>
      <c r="I629" t="s">
        <v>14</v>
      </c>
      <c r="J629" t="s">
        <v>22</v>
      </c>
      <c r="K629">
        <v>58</v>
      </c>
      <c r="L629" t="s">
        <v>49</v>
      </c>
      <c r="M629">
        <v>0</v>
      </c>
      <c r="N629">
        <f t="shared" si="39"/>
        <v>1</v>
      </c>
      <c r="P629" s="4">
        <f t="shared" si="36"/>
        <v>18</v>
      </c>
      <c r="Q629" s="4" t="str">
        <f t="shared" si="37"/>
        <v>Late Night</v>
      </c>
      <c r="R629" s="4" t="str">
        <f t="shared" si="38"/>
        <v>Low</v>
      </c>
    </row>
    <row r="630" spans="1:18">
      <c r="A630" t="s">
        <v>876</v>
      </c>
      <c r="B630" s="2">
        <v>46136</v>
      </c>
      <c r="C630" s="3">
        <v>0.318055555555556</v>
      </c>
      <c r="D630" t="s">
        <v>669</v>
      </c>
      <c r="E630">
        <v>2049.58</v>
      </c>
      <c r="F630" t="s">
        <v>30</v>
      </c>
      <c r="G630" t="s">
        <v>48</v>
      </c>
      <c r="H630" t="s">
        <v>4</v>
      </c>
      <c r="I630" t="s">
        <v>15</v>
      </c>
      <c r="J630" t="s">
        <v>21</v>
      </c>
      <c r="K630">
        <v>24</v>
      </c>
      <c r="L630" t="s">
        <v>49</v>
      </c>
      <c r="M630">
        <v>0</v>
      </c>
      <c r="N630">
        <f t="shared" si="39"/>
        <v>1</v>
      </c>
      <c r="P630" s="4">
        <f t="shared" si="36"/>
        <v>7</v>
      </c>
      <c r="Q630" s="4" t="str">
        <f t="shared" si="37"/>
        <v>Late Night</v>
      </c>
      <c r="R630" s="4" t="str">
        <f t="shared" si="38"/>
        <v>Medium</v>
      </c>
    </row>
    <row r="631" spans="1:18">
      <c r="A631" t="s">
        <v>877</v>
      </c>
      <c r="B631" s="2">
        <v>46136</v>
      </c>
      <c r="C631" s="3">
        <v>0.648611111111111</v>
      </c>
      <c r="D631" t="s">
        <v>427</v>
      </c>
      <c r="E631">
        <v>78.72</v>
      </c>
      <c r="F631" t="s">
        <v>30</v>
      </c>
      <c r="G631" t="s">
        <v>48</v>
      </c>
      <c r="H631" t="s">
        <v>7</v>
      </c>
      <c r="I631" t="s">
        <v>15</v>
      </c>
      <c r="J631" t="s">
        <v>18</v>
      </c>
      <c r="K631">
        <v>49</v>
      </c>
      <c r="L631" t="s">
        <v>49</v>
      </c>
      <c r="M631">
        <v>0</v>
      </c>
      <c r="N631">
        <f t="shared" si="39"/>
        <v>1</v>
      </c>
      <c r="P631" s="4">
        <f t="shared" si="36"/>
        <v>15</v>
      </c>
      <c r="Q631" s="4" t="str">
        <f t="shared" si="37"/>
        <v>Late Night</v>
      </c>
      <c r="R631" s="4" t="str">
        <f t="shared" si="38"/>
        <v>Low</v>
      </c>
    </row>
    <row r="632" spans="1:18">
      <c r="A632" t="s">
        <v>878</v>
      </c>
      <c r="B632" s="2">
        <v>46136</v>
      </c>
      <c r="C632" s="3">
        <v>0.511805555555556</v>
      </c>
      <c r="D632" t="s">
        <v>89</v>
      </c>
      <c r="E632">
        <v>734.87</v>
      </c>
      <c r="F632" t="s">
        <v>30</v>
      </c>
      <c r="G632" t="s">
        <v>71</v>
      </c>
      <c r="H632" t="s">
        <v>9</v>
      </c>
      <c r="I632" t="s">
        <v>16</v>
      </c>
      <c r="J632" t="s">
        <v>21</v>
      </c>
      <c r="K632">
        <v>21</v>
      </c>
      <c r="L632" t="s">
        <v>49</v>
      </c>
      <c r="M632">
        <v>0</v>
      </c>
      <c r="N632">
        <f t="shared" si="39"/>
        <v>1</v>
      </c>
      <c r="P632" s="4">
        <f t="shared" si="36"/>
        <v>12</v>
      </c>
      <c r="Q632" s="4" t="str">
        <f t="shared" si="37"/>
        <v>Late Night</v>
      </c>
      <c r="R632" s="4" t="str">
        <f t="shared" si="38"/>
        <v>Low</v>
      </c>
    </row>
    <row r="633" spans="1:18">
      <c r="A633" t="s">
        <v>879</v>
      </c>
      <c r="B633" s="2">
        <v>46136</v>
      </c>
      <c r="C633" s="3">
        <v>0.0402777777777778</v>
      </c>
      <c r="D633" t="s">
        <v>139</v>
      </c>
      <c r="E633">
        <v>261.56</v>
      </c>
      <c r="F633" t="s">
        <v>30</v>
      </c>
      <c r="G633" t="s">
        <v>48</v>
      </c>
      <c r="H633" t="s">
        <v>9</v>
      </c>
      <c r="I633" t="s">
        <v>15</v>
      </c>
      <c r="J633" t="s">
        <v>21</v>
      </c>
      <c r="K633">
        <v>37</v>
      </c>
      <c r="L633" t="s">
        <v>49</v>
      </c>
      <c r="M633">
        <v>0</v>
      </c>
      <c r="N633">
        <f t="shared" si="39"/>
        <v>1</v>
      </c>
      <c r="P633" s="4">
        <f t="shared" si="36"/>
        <v>0</v>
      </c>
      <c r="Q633" s="4" t="str">
        <f t="shared" si="37"/>
        <v>Late Night</v>
      </c>
      <c r="R633" s="4" t="str">
        <f t="shared" si="38"/>
        <v>Low</v>
      </c>
    </row>
    <row r="634" spans="1:18">
      <c r="A634" t="s">
        <v>880</v>
      </c>
      <c r="B634" s="2">
        <v>46136</v>
      </c>
      <c r="C634" s="3">
        <v>0.903472222222222</v>
      </c>
      <c r="D634" t="s">
        <v>713</v>
      </c>
      <c r="E634">
        <v>187.81</v>
      </c>
      <c r="F634" t="s">
        <v>31</v>
      </c>
      <c r="G634" t="s">
        <v>54</v>
      </c>
      <c r="H634" t="s">
        <v>8</v>
      </c>
      <c r="I634" t="s">
        <v>15</v>
      </c>
      <c r="J634" t="s">
        <v>22</v>
      </c>
      <c r="K634">
        <v>53</v>
      </c>
      <c r="L634" t="s">
        <v>49</v>
      </c>
      <c r="M634">
        <v>0</v>
      </c>
      <c r="N634">
        <f t="shared" si="39"/>
        <v>1</v>
      </c>
      <c r="P634" s="4">
        <f t="shared" si="36"/>
        <v>21</v>
      </c>
      <c r="Q634" s="4" t="str">
        <f t="shared" si="37"/>
        <v>Late Night</v>
      </c>
      <c r="R634" s="4" t="str">
        <f t="shared" si="38"/>
        <v>Low</v>
      </c>
    </row>
    <row r="635" spans="1:18">
      <c r="A635" t="s">
        <v>881</v>
      </c>
      <c r="B635" s="2">
        <v>46137</v>
      </c>
      <c r="C635" s="3">
        <v>0.818055555555556</v>
      </c>
      <c r="D635" t="s">
        <v>649</v>
      </c>
      <c r="E635">
        <v>128.49</v>
      </c>
      <c r="F635" t="s">
        <v>29</v>
      </c>
      <c r="G635" t="s">
        <v>48</v>
      </c>
      <c r="H635" t="s">
        <v>7</v>
      </c>
      <c r="I635" t="s">
        <v>15</v>
      </c>
      <c r="J635" t="s">
        <v>23</v>
      </c>
      <c r="K635">
        <v>49</v>
      </c>
      <c r="L635" t="s">
        <v>49</v>
      </c>
      <c r="M635">
        <v>0</v>
      </c>
      <c r="N635">
        <f t="shared" si="39"/>
        <v>1</v>
      </c>
      <c r="P635" s="4">
        <f t="shared" si="36"/>
        <v>19</v>
      </c>
      <c r="Q635" s="4" t="str">
        <f t="shared" si="37"/>
        <v>Late Night</v>
      </c>
      <c r="R635" s="4" t="str">
        <f t="shared" si="38"/>
        <v>Low</v>
      </c>
    </row>
    <row r="636" spans="1:18">
      <c r="A636" t="s">
        <v>882</v>
      </c>
      <c r="B636" s="2">
        <v>46137</v>
      </c>
      <c r="C636" s="3">
        <v>0.677777777777778</v>
      </c>
      <c r="D636" t="s">
        <v>554</v>
      </c>
      <c r="E636">
        <v>166.8</v>
      </c>
      <c r="F636" t="s">
        <v>28</v>
      </c>
      <c r="G636" t="s">
        <v>48</v>
      </c>
      <c r="H636" t="s">
        <v>9</v>
      </c>
      <c r="I636" t="s">
        <v>15</v>
      </c>
      <c r="J636" t="s">
        <v>22</v>
      </c>
      <c r="K636">
        <v>45</v>
      </c>
      <c r="L636" t="s">
        <v>49</v>
      </c>
      <c r="M636">
        <v>0</v>
      </c>
      <c r="N636">
        <f t="shared" si="39"/>
        <v>1</v>
      </c>
      <c r="P636" s="4">
        <f t="shared" si="36"/>
        <v>16</v>
      </c>
      <c r="Q636" s="4" t="str">
        <f t="shared" si="37"/>
        <v>Late Night</v>
      </c>
      <c r="R636" s="4" t="str">
        <f t="shared" si="38"/>
        <v>Low</v>
      </c>
    </row>
    <row r="637" spans="1:18">
      <c r="A637" t="s">
        <v>883</v>
      </c>
      <c r="B637" s="2">
        <v>46137</v>
      </c>
      <c r="C637" s="3">
        <v>0.259027777777778</v>
      </c>
      <c r="D637" t="s">
        <v>630</v>
      </c>
      <c r="E637">
        <v>572.26</v>
      </c>
      <c r="F637" t="s">
        <v>30</v>
      </c>
      <c r="G637" t="s">
        <v>48</v>
      </c>
      <c r="H637" t="s">
        <v>5</v>
      </c>
      <c r="I637" t="s">
        <v>15</v>
      </c>
      <c r="J637" t="s">
        <v>24</v>
      </c>
      <c r="K637">
        <v>30</v>
      </c>
      <c r="L637" t="s">
        <v>49</v>
      </c>
      <c r="M637">
        <v>0</v>
      </c>
      <c r="N637">
        <f t="shared" si="39"/>
        <v>1</v>
      </c>
      <c r="P637" s="4">
        <f t="shared" si="36"/>
        <v>6</v>
      </c>
      <c r="Q637" s="4" t="str">
        <f t="shared" si="37"/>
        <v>Late Night</v>
      </c>
      <c r="R637" s="4" t="str">
        <f t="shared" si="38"/>
        <v>Low</v>
      </c>
    </row>
    <row r="638" spans="1:18">
      <c r="A638" t="s">
        <v>884</v>
      </c>
      <c r="B638" s="2">
        <v>46137</v>
      </c>
      <c r="C638" s="3">
        <v>0.520833333333333</v>
      </c>
      <c r="D638" t="s">
        <v>110</v>
      </c>
      <c r="E638">
        <v>58.09</v>
      </c>
      <c r="F638" t="s">
        <v>29</v>
      </c>
      <c r="G638" t="s">
        <v>48</v>
      </c>
      <c r="H638" t="s">
        <v>6</v>
      </c>
      <c r="I638" t="s">
        <v>15</v>
      </c>
      <c r="J638" t="s">
        <v>18</v>
      </c>
      <c r="K638">
        <v>18</v>
      </c>
      <c r="L638" t="s">
        <v>49</v>
      </c>
      <c r="M638">
        <v>0</v>
      </c>
      <c r="N638">
        <f t="shared" si="39"/>
        <v>1</v>
      </c>
      <c r="P638" s="4">
        <f t="shared" si="36"/>
        <v>12</v>
      </c>
      <c r="Q638" s="4" t="str">
        <f t="shared" si="37"/>
        <v>Late Night</v>
      </c>
      <c r="R638" s="4" t="str">
        <f t="shared" si="38"/>
        <v>Low</v>
      </c>
    </row>
    <row r="639" spans="1:18">
      <c r="A639" t="s">
        <v>885</v>
      </c>
      <c r="B639" s="2">
        <v>46137</v>
      </c>
      <c r="C639" s="3">
        <v>0.140972222222222</v>
      </c>
      <c r="D639" t="s">
        <v>134</v>
      </c>
      <c r="E639">
        <v>137.69</v>
      </c>
      <c r="F639" t="s">
        <v>29</v>
      </c>
      <c r="G639" t="s">
        <v>66</v>
      </c>
      <c r="H639" t="s">
        <v>7</v>
      </c>
      <c r="I639" t="s">
        <v>15</v>
      </c>
      <c r="J639" t="s">
        <v>21</v>
      </c>
      <c r="K639">
        <v>52</v>
      </c>
      <c r="L639" t="s">
        <v>159</v>
      </c>
      <c r="M639">
        <v>0</v>
      </c>
      <c r="N639">
        <f t="shared" si="39"/>
        <v>1</v>
      </c>
      <c r="P639" s="4">
        <f t="shared" si="36"/>
        <v>3</v>
      </c>
      <c r="Q639" s="4" t="str">
        <f t="shared" si="37"/>
        <v>Late Night</v>
      </c>
      <c r="R639" s="4" t="str">
        <f t="shared" si="38"/>
        <v>Low</v>
      </c>
    </row>
    <row r="640" spans="1:18">
      <c r="A640" t="s">
        <v>886</v>
      </c>
      <c r="B640" s="2">
        <v>46137</v>
      </c>
      <c r="C640" s="3">
        <v>0.148611111111111</v>
      </c>
      <c r="D640" t="s">
        <v>170</v>
      </c>
      <c r="E640">
        <v>632.07</v>
      </c>
      <c r="F640" t="s">
        <v>29</v>
      </c>
      <c r="G640" t="s">
        <v>48</v>
      </c>
      <c r="H640" t="s">
        <v>10</v>
      </c>
      <c r="I640" t="s">
        <v>15</v>
      </c>
      <c r="J640" t="s">
        <v>22</v>
      </c>
      <c r="K640">
        <v>65</v>
      </c>
      <c r="L640" t="s">
        <v>49</v>
      </c>
      <c r="M640">
        <v>0</v>
      </c>
      <c r="N640">
        <f t="shared" si="39"/>
        <v>1</v>
      </c>
      <c r="P640" s="4">
        <f t="shared" si="36"/>
        <v>3</v>
      </c>
      <c r="Q640" s="4" t="str">
        <f t="shared" si="37"/>
        <v>Late Night</v>
      </c>
      <c r="R640" s="4" t="str">
        <f t="shared" si="38"/>
        <v>Low</v>
      </c>
    </row>
    <row r="641" spans="1:18">
      <c r="A641" t="s">
        <v>887</v>
      </c>
      <c r="B641" s="2">
        <v>46138</v>
      </c>
      <c r="C641" s="3">
        <v>0.238194444444444</v>
      </c>
      <c r="D641" t="s">
        <v>264</v>
      </c>
      <c r="E641">
        <v>484.79</v>
      </c>
      <c r="F641" t="s">
        <v>31</v>
      </c>
      <c r="G641" t="s">
        <v>71</v>
      </c>
      <c r="H641" t="s">
        <v>5</v>
      </c>
      <c r="I641" t="s">
        <v>14</v>
      </c>
      <c r="J641" t="s">
        <v>22</v>
      </c>
      <c r="K641">
        <v>47</v>
      </c>
      <c r="L641" t="s">
        <v>49</v>
      </c>
      <c r="M641">
        <v>0</v>
      </c>
      <c r="N641">
        <f t="shared" si="39"/>
        <v>1</v>
      </c>
      <c r="P641" s="4">
        <f t="shared" si="36"/>
        <v>5</v>
      </c>
      <c r="Q641" s="4" t="str">
        <f t="shared" si="37"/>
        <v>Late Night</v>
      </c>
      <c r="R641" s="4" t="str">
        <f t="shared" si="38"/>
        <v>Low</v>
      </c>
    </row>
    <row r="642" spans="1:18">
      <c r="A642" t="s">
        <v>888</v>
      </c>
      <c r="B642" s="2">
        <v>46138</v>
      </c>
      <c r="C642" s="3">
        <v>0.790972222222222</v>
      </c>
      <c r="D642" t="s">
        <v>836</v>
      </c>
      <c r="E642">
        <v>58.99</v>
      </c>
      <c r="F642" t="s">
        <v>28</v>
      </c>
      <c r="G642" t="s">
        <v>59</v>
      </c>
      <c r="H642" t="s">
        <v>8</v>
      </c>
      <c r="I642" t="s">
        <v>15</v>
      </c>
      <c r="J642" t="s">
        <v>22</v>
      </c>
      <c r="K642">
        <v>53</v>
      </c>
      <c r="L642" t="s">
        <v>49</v>
      </c>
      <c r="M642">
        <v>0</v>
      </c>
      <c r="N642">
        <f t="shared" si="39"/>
        <v>1</v>
      </c>
      <c r="P642" s="4">
        <f t="shared" ref="P642:P705" si="40">HOUR(C642)</f>
        <v>18</v>
      </c>
      <c r="Q642" s="4" t="str">
        <f t="shared" ref="Q642:Q705" si="41">IF(N642&lt;6,"Late Night",IF(N642&lt;12,"Morning",IF(N642&lt;18,"Afternoon","Evening")))</f>
        <v>Late Night</v>
      </c>
      <c r="R642" s="4" t="str">
        <f t="shared" ref="R642:R705" si="42">IF(E642&lt;1000,"Low",IF(E642&lt;5000,"Medium",IF(E642&lt;15000,"High","Very High")))</f>
        <v>Low</v>
      </c>
    </row>
    <row r="643" spans="1:18">
      <c r="A643" t="s">
        <v>889</v>
      </c>
      <c r="B643" s="2">
        <v>46138</v>
      </c>
      <c r="C643" s="3">
        <v>0.488888888888889</v>
      </c>
      <c r="D643" t="s">
        <v>457</v>
      </c>
      <c r="E643">
        <v>151.02</v>
      </c>
      <c r="F643" t="s">
        <v>32</v>
      </c>
      <c r="G643" t="s">
        <v>54</v>
      </c>
      <c r="H643" t="s">
        <v>6</v>
      </c>
      <c r="I643" t="s">
        <v>15</v>
      </c>
      <c r="J643" t="s">
        <v>18</v>
      </c>
      <c r="K643">
        <v>42</v>
      </c>
      <c r="L643" t="s">
        <v>49</v>
      </c>
      <c r="M643">
        <v>0</v>
      </c>
      <c r="N643">
        <f t="shared" ref="N643:N706" si="43">COUNTIF($A$2:$A$1001,A643)</f>
        <v>1</v>
      </c>
      <c r="P643" s="4">
        <f t="shared" si="40"/>
        <v>11</v>
      </c>
      <c r="Q643" s="4" t="str">
        <f t="shared" si="41"/>
        <v>Late Night</v>
      </c>
      <c r="R643" s="4" t="str">
        <f t="shared" si="42"/>
        <v>Low</v>
      </c>
    </row>
    <row r="644" spans="1:18">
      <c r="A644" t="s">
        <v>890</v>
      </c>
      <c r="B644" s="2">
        <v>46138</v>
      </c>
      <c r="C644" s="3">
        <v>0.897916666666667</v>
      </c>
      <c r="D644" t="s">
        <v>253</v>
      </c>
      <c r="E644">
        <v>375.41</v>
      </c>
      <c r="F644" t="s">
        <v>32</v>
      </c>
      <c r="G644" t="s">
        <v>59</v>
      </c>
      <c r="H644" t="s">
        <v>10</v>
      </c>
      <c r="I644" t="s">
        <v>15</v>
      </c>
      <c r="J644" t="s">
        <v>23</v>
      </c>
      <c r="K644">
        <v>33</v>
      </c>
      <c r="L644" t="s">
        <v>49</v>
      </c>
      <c r="M644">
        <v>0</v>
      </c>
      <c r="N644">
        <f t="shared" si="43"/>
        <v>1</v>
      </c>
      <c r="P644" s="4">
        <f t="shared" si="40"/>
        <v>21</v>
      </c>
      <c r="Q644" s="4" t="str">
        <f t="shared" si="41"/>
        <v>Late Night</v>
      </c>
      <c r="R644" s="4" t="str">
        <f t="shared" si="42"/>
        <v>Low</v>
      </c>
    </row>
    <row r="645" spans="1:18">
      <c r="A645" t="s">
        <v>891</v>
      </c>
      <c r="B645" s="2">
        <v>46138</v>
      </c>
      <c r="C645" s="3">
        <v>0.251388888888889</v>
      </c>
      <c r="D645" t="s">
        <v>172</v>
      </c>
      <c r="E645">
        <v>351.93</v>
      </c>
      <c r="F645" t="s">
        <v>31</v>
      </c>
      <c r="G645" t="s">
        <v>54</v>
      </c>
      <c r="H645" t="s">
        <v>8</v>
      </c>
      <c r="I645" t="s">
        <v>15</v>
      </c>
      <c r="J645" t="s">
        <v>19</v>
      </c>
      <c r="K645">
        <v>36</v>
      </c>
      <c r="L645" t="s">
        <v>49</v>
      </c>
      <c r="M645">
        <v>0</v>
      </c>
      <c r="N645">
        <f t="shared" si="43"/>
        <v>1</v>
      </c>
      <c r="P645" s="4">
        <f t="shared" si="40"/>
        <v>6</v>
      </c>
      <c r="Q645" s="4" t="str">
        <f t="shared" si="41"/>
        <v>Late Night</v>
      </c>
      <c r="R645" s="4" t="str">
        <f t="shared" si="42"/>
        <v>Low</v>
      </c>
    </row>
    <row r="646" spans="1:18">
      <c r="A646" t="s">
        <v>892</v>
      </c>
      <c r="B646" s="2">
        <v>46139</v>
      </c>
      <c r="C646" s="3">
        <v>0.4</v>
      </c>
      <c r="D646" t="s">
        <v>257</v>
      </c>
      <c r="E646">
        <v>480.65</v>
      </c>
      <c r="F646" t="s">
        <v>31</v>
      </c>
      <c r="G646" t="s">
        <v>66</v>
      </c>
      <c r="H646" t="s">
        <v>10</v>
      </c>
      <c r="I646" t="s">
        <v>15</v>
      </c>
      <c r="J646" t="s">
        <v>22</v>
      </c>
      <c r="K646">
        <v>18</v>
      </c>
      <c r="L646" t="s">
        <v>49</v>
      </c>
      <c r="M646">
        <v>0</v>
      </c>
      <c r="N646">
        <f t="shared" si="43"/>
        <v>1</v>
      </c>
      <c r="P646" s="4">
        <f t="shared" si="40"/>
        <v>9</v>
      </c>
      <c r="Q646" s="4" t="str">
        <f t="shared" si="41"/>
        <v>Late Night</v>
      </c>
      <c r="R646" s="4" t="str">
        <f t="shared" si="42"/>
        <v>Low</v>
      </c>
    </row>
    <row r="647" spans="1:18">
      <c r="A647" t="s">
        <v>893</v>
      </c>
      <c r="B647" s="2">
        <v>46139</v>
      </c>
      <c r="C647" s="3">
        <v>0.779166666666667</v>
      </c>
      <c r="D647" t="s">
        <v>410</v>
      </c>
      <c r="E647">
        <v>266.21</v>
      </c>
      <c r="F647" t="s">
        <v>31</v>
      </c>
      <c r="G647" t="s">
        <v>48</v>
      </c>
      <c r="H647" t="s">
        <v>8</v>
      </c>
      <c r="I647" t="s">
        <v>15</v>
      </c>
      <c r="J647" t="s">
        <v>18</v>
      </c>
      <c r="K647">
        <v>22</v>
      </c>
      <c r="L647" t="s">
        <v>49</v>
      </c>
      <c r="M647">
        <v>0</v>
      </c>
      <c r="N647">
        <f t="shared" si="43"/>
        <v>1</v>
      </c>
      <c r="P647" s="4">
        <f t="shared" si="40"/>
        <v>18</v>
      </c>
      <c r="Q647" s="4" t="str">
        <f t="shared" si="41"/>
        <v>Late Night</v>
      </c>
      <c r="R647" s="4" t="str">
        <f t="shared" si="42"/>
        <v>Low</v>
      </c>
    </row>
    <row r="648" spans="1:18">
      <c r="A648" t="s">
        <v>894</v>
      </c>
      <c r="B648" s="2">
        <v>46139</v>
      </c>
      <c r="C648" s="3">
        <v>0.277083333333333</v>
      </c>
      <c r="D648" t="s">
        <v>688</v>
      </c>
      <c r="E648">
        <v>314.8</v>
      </c>
      <c r="F648" t="s">
        <v>29</v>
      </c>
      <c r="G648" t="s">
        <v>54</v>
      </c>
      <c r="H648" t="s">
        <v>10</v>
      </c>
      <c r="I648" t="s">
        <v>15</v>
      </c>
      <c r="J648" t="s">
        <v>21</v>
      </c>
      <c r="K648">
        <v>39</v>
      </c>
      <c r="L648" t="s">
        <v>49</v>
      </c>
      <c r="M648">
        <v>0</v>
      </c>
      <c r="N648">
        <f t="shared" si="43"/>
        <v>1</v>
      </c>
      <c r="P648" s="4">
        <f t="shared" si="40"/>
        <v>6</v>
      </c>
      <c r="Q648" s="4" t="str">
        <f t="shared" si="41"/>
        <v>Late Night</v>
      </c>
      <c r="R648" s="4" t="str">
        <f t="shared" si="42"/>
        <v>Low</v>
      </c>
    </row>
    <row r="649" spans="1:18">
      <c r="A649" t="s">
        <v>895</v>
      </c>
      <c r="B649" s="2">
        <v>46139</v>
      </c>
      <c r="C649" s="3">
        <v>0.100694444444444</v>
      </c>
      <c r="D649" t="s">
        <v>621</v>
      </c>
      <c r="E649">
        <v>255.39</v>
      </c>
      <c r="F649" t="s">
        <v>30</v>
      </c>
      <c r="G649" t="s">
        <v>71</v>
      </c>
      <c r="H649" t="s">
        <v>6</v>
      </c>
      <c r="I649" t="s">
        <v>15</v>
      </c>
      <c r="J649" t="s">
        <v>24</v>
      </c>
      <c r="K649">
        <v>41</v>
      </c>
      <c r="L649" t="s">
        <v>49</v>
      </c>
      <c r="M649">
        <v>0</v>
      </c>
      <c r="N649">
        <f t="shared" si="43"/>
        <v>1</v>
      </c>
      <c r="P649" s="4">
        <f t="shared" si="40"/>
        <v>2</v>
      </c>
      <c r="Q649" s="4" t="str">
        <f t="shared" si="41"/>
        <v>Late Night</v>
      </c>
      <c r="R649" s="4" t="str">
        <f t="shared" si="42"/>
        <v>Low</v>
      </c>
    </row>
    <row r="650" spans="1:18">
      <c r="A650" t="s">
        <v>896</v>
      </c>
      <c r="B650" s="2">
        <v>46139</v>
      </c>
      <c r="C650" s="3">
        <v>0.5375</v>
      </c>
      <c r="D650" t="s">
        <v>502</v>
      </c>
      <c r="E650">
        <v>879.83</v>
      </c>
      <c r="F650" t="s">
        <v>31</v>
      </c>
      <c r="G650" t="s">
        <v>71</v>
      </c>
      <c r="H650" t="s">
        <v>5</v>
      </c>
      <c r="I650" t="s">
        <v>15</v>
      </c>
      <c r="J650" t="s">
        <v>19</v>
      </c>
      <c r="K650">
        <v>60</v>
      </c>
      <c r="L650" t="s">
        <v>49</v>
      </c>
      <c r="M650">
        <v>0</v>
      </c>
      <c r="N650">
        <f t="shared" si="43"/>
        <v>1</v>
      </c>
      <c r="P650" s="4">
        <f t="shared" si="40"/>
        <v>12</v>
      </c>
      <c r="Q650" s="4" t="str">
        <f t="shared" si="41"/>
        <v>Late Night</v>
      </c>
      <c r="R650" s="4" t="str">
        <f t="shared" si="42"/>
        <v>Low</v>
      </c>
    </row>
    <row r="651" spans="1:18">
      <c r="A651" t="s">
        <v>897</v>
      </c>
      <c r="B651" s="2">
        <v>46139</v>
      </c>
      <c r="C651" s="3">
        <v>0.515277777777778</v>
      </c>
      <c r="D651" t="s">
        <v>443</v>
      </c>
      <c r="E651">
        <v>118.89</v>
      </c>
      <c r="F651" t="s">
        <v>28</v>
      </c>
      <c r="G651" t="s">
        <v>71</v>
      </c>
      <c r="H651" t="s">
        <v>10</v>
      </c>
      <c r="I651" t="s">
        <v>15</v>
      </c>
      <c r="J651" t="s">
        <v>20</v>
      </c>
      <c r="K651">
        <v>62</v>
      </c>
      <c r="L651" t="s">
        <v>49</v>
      </c>
      <c r="M651">
        <v>0</v>
      </c>
      <c r="N651">
        <f t="shared" si="43"/>
        <v>1</v>
      </c>
      <c r="P651" s="4">
        <f t="shared" si="40"/>
        <v>12</v>
      </c>
      <c r="Q651" s="4" t="str">
        <f t="shared" si="41"/>
        <v>Late Night</v>
      </c>
      <c r="R651" s="4" t="str">
        <f t="shared" si="42"/>
        <v>Low</v>
      </c>
    </row>
    <row r="652" spans="1:18">
      <c r="A652" t="s">
        <v>898</v>
      </c>
      <c r="B652" s="2">
        <v>46140</v>
      </c>
      <c r="C652" s="3">
        <v>0.738194444444444</v>
      </c>
      <c r="D652" t="s">
        <v>321</v>
      </c>
      <c r="E652">
        <v>190.22</v>
      </c>
      <c r="F652" t="s">
        <v>30</v>
      </c>
      <c r="G652" t="s">
        <v>54</v>
      </c>
      <c r="H652" t="s">
        <v>10</v>
      </c>
      <c r="I652" t="s">
        <v>15</v>
      </c>
      <c r="J652" t="s">
        <v>19</v>
      </c>
      <c r="K652">
        <v>54</v>
      </c>
      <c r="L652" t="s">
        <v>49</v>
      </c>
      <c r="M652">
        <v>0</v>
      </c>
      <c r="N652">
        <f t="shared" si="43"/>
        <v>1</v>
      </c>
      <c r="P652" s="4">
        <f t="shared" si="40"/>
        <v>17</v>
      </c>
      <c r="Q652" s="4" t="str">
        <f t="shared" si="41"/>
        <v>Late Night</v>
      </c>
      <c r="R652" s="4" t="str">
        <f t="shared" si="42"/>
        <v>Low</v>
      </c>
    </row>
    <row r="653" spans="1:18">
      <c r="A653" t="s">
        <v>899</v>
      </c>
      <c r="B653" s="2">
        <v>46140</v>
      </c>
      <c r="C653" s="3">
        <v>0.818055555555556</v>
      </c>
      <c r="D653" t="s">
        <v>584</v>
      </c>
      <c r="E653">
        <v>65.7</v>
      </c>
      <c r="F653" t="s">
        <v>29</v>
      </c>
      <c r="G653" t="s">
        <v>66</v>
      </c>
      <c r="H653" t="s">
        <v>3</v>
      </c>
      <c r="I653" t="s">
        <v>15</v>
      </c>
      <c r="J653" t="s">
        <v>19</v>
      </c>
      <c r="K653">
        <v>53</v>
      </c>
      <c r="L653" t="s">
        <v>49</v>
      </c>
      <c r="M653">
        <v>0</v>
      </c>
      <c r="N653">
        <f t="shared" si="43"/>
        <v>1</v>
      </c>
      <c r="P653" s="4">
        <f t="shared" si="40"/>
        <v>19</v>
      </c>
      <c r="Q653" s="4" t="str">
        <f t="shared" si="41"/>
        <v>Late Night</v>
      </c>
      <c r="R653" s="4" t="str">
        <f t="shared" si="42"/>
        <v>Low</v>
      </c>
    </row>
    <row r="654" spans="1:18">
      <c r="A654" t="s">
        <v>900</v>
      </c>
      <c r="B654" s="2">
        <v>46140</v>
      </c>
      <c r="C654" s="3">
        <v>0.301388888888889</v>
      </c>
      <c r="D654" t="s">
        <v>331</v>
      </c>
      <c r="E654">
        <v>53.95</v>
      </c>
      <c r="F654" t="s">
        <v>28</v>
      </c>
      <c r="G654" t="s">
        <v>54</v>
      </c>
      <c r="H654" t="s">
        <v>7</v>
      </c>
      <c r="I654" t="s">
        <v>15</v>
      </c>
      <c r="J654" t="s">
        <v>18</v>
      </c>
      <c r="K654">
        <v>53</v>
      </c>
      <c r="L654" t="s">
        <v>49</v>
      </c>
      <c r="M654">
        <v>0</v>
      </c>
      <c r="N654">
        <f t="shared" si="43"/>
        <v>1</v>
      </c>
      <c r="P654" s="4">
        <f t="shared" si="40"/>
        <v>7</v>
      </c>
      <c r="Q654" s="4" t="str">
        <f t="shared" si="41"/>
        <v>Late Night</v>
      </c>
      <c r="R654" s="4" t="str">
        <f t="shared" si="42"/>
        <v>Low</v>
      </c>
    </row>
    <row r="655" spans="1:18">
      <c r="A655" t="s">
        <v>901</v>
      </c>
      <c r="B655" s="2">
        <v>46140</v>
      </c>
      <c r="C655" s="3">
        <v>0.371527777777778</v>
      </c>
      <c r="D655" t="s">
        <v>114</v>
      </c>
      <c r="E655">
        <v>250.88</v>
      </c>
      <c r="F655" t="s">
        <v>29</v>
      </c>
      <c r="G655" t="s">
        <v>54</v>
      </c>
      <c r="H655" t="s">
        <v>6</v>
      </c>
      <c r="I655" t="s">
        <v>15</v>
      </c>
      <c r="J655" t="s">
        <v>20</v>
      </c>
      <c r="K655">
        <v>21</v>
      </c>
      <c r="L655" t="s">
        <v>49</v>
      </c>
      <c r="M655">
        <v>0</v>
      </c>
      <c r="N655">
        <f t="shared" si="43"/>
        <v>1</v>
      </c>
      <c r="P655" s="4">
        <f t="shared" si="40"/>
        <v>8</v>
      </c>
      <c r="Q655" s="4" t="str">
        <f t="shared" si="41"/>
        <v>Late Night</v>
      </c>
      <c r="R655" s="4" t="str">
        <f t="shared" si="42"/>
        <v>Low</v>
      </c>
    </row>
    <row r="656" spans="1:18">
      <c r="A656" t="s">
        <v>902</v>
      </c>
      <c r="B656" s="2">
        <v>46140</v>
      </c>
      <c r="C656" s="3">
        <v>0.283333333333333</v>
      </c>
      <c r="D656" t="s">
        <v>308</v>
      </c>
      <c r="E656">
        <v>87.87</v>
      </c>
      <c r="F656" t="s">
        <v>28</v>
      </c>
      <c r="G656" t="s">
        <v>48</v>
      </c>
      <c r="H656" t="s">
        <v>8</v>
      </c>
      <c r="I656" t="s">
        <v>14</v>
      </c>
      <c r="J656" t="s">
        <v>22</v>
      </c>
      <c r="K656">
        <v>53</v>
      </c>
      <c r="L656" t="s">
        <v>49</v>
      </c>
      <c r="M656">
        <v>0</v>
      </c>
      <c r="N656">
        <f t="shared" si="43"/>
        <v>1</v>
      </c>
      <c r="P656" s="4">
        <f t="shared" si="40"/>
        <v>6</v>
      </c>
      <c r="Q656" s="4" t="str">
        <f t="shared" si="41"/>
        <v>Late Night</v>
      </c>
      <c r="R656" s="4" t="str">
        <f t="shared" si="42"/>
        <v>Low</v>
      </c>
    </row>
    <row r="657" spans="1:18">
      <c r="A657" t="s">
        <v>903</v>
      </c>
      <c r="B657" s="2">
        <v>46141</v>
      </c>
      <c r="C657" s="3">
        <v>0.00208333333333333</v>
      </c>
      <c r="D657" t="s">
        <v>80</v>
      </c>
      <c r="E657">
        <v>171.11</v>
      </c>
      <c r="F657" t="s">
        <v>31</v>
      </c>
      <c r="G657" t="s">
        <v>59</v>
      </c>
      <c r="H657" t="s">
        <v>6</v>
      </c>
      <c r="I657" t="s">
        <v>15</v>
      </c>
      <c r="J657" t="s">
        <v>22</v>
      </c>
      <c r="K657">
        <v>35</v>
      </c>
      <c r="L657" t="s">
        <v>85</v>
      </c>
      <c r="M657">
        <v>1</v>
      </c>
      <c r="N657">
        <f t="shared" si="43"/>
        <v>1</v>
      </c>
      <c r="P657" s="4">
        <f t="shared" si="40"/>
        <v>0</v>
      </c>
      <c r="Q657" s="4" t="str">
        <f t="shared" si="41"/>
        <v>Late Night</v>
      </c>
      <c r="R657" s="4" t="str">
        <f t="shared" si="42"/>
        <v>Low</v>
      </c>
    </row>
    <row r="658" spans="1:18">
      <c r="A658" t="s">
        <v>904</v>
      </c>
      <c r="B658" s="2">
        <v>46141</v>
      </c>
      <c r="C658" s="3">
        <v>0.102777777777778</v>
      </c>
      <c r="D658" t="s">
        <v>905</v>
      </c>
      <c r="E658">
        <v>913.93</v>
      </c>
      <c r="F658" t="s">
        <v>28</v>
      </c>
      <c r="G658" t="s">
        <v>48</v>
      </c>
      <c r="H658" t="s">
        <v>9</v>
      </c>
      <c r="I658" t="s">
        <v>15</v>
      </c>
      <c r="J658" t="s">
        <v>19</v>
      </c>
      <c r="K658">
        <v>33</v>
      </c>
      <c r="L658" t="s">
        <v>49</v>
      </c>
      <c r="M658">
        <v>0</v>
      </c>
      <c r="N658">
        <f t="shared" si="43"/>
        <v>1</v>
      </c>
      <c r="P658" s="4">
        <f t="shared" si="40"/>
        <v>2</v>
      </c>
      <c r="Q658" s="4" t="str">
        <f t="shared" si="41"/>
        <v>Late Night</v>
      </c>
      <c r="R658" s="4" t="str">
        <f t="shared" si="42"/>
        <v>Low</v>
      </c>
    </row>
    <row r="659" spans="1:18">
      <c r="A659" t="s">
        <v>906</v>
      </c>
      <c r="B659" s="2">
        <v>46141</v>
      </c>
      <c r="C659" s="3">
        <v>0.514583333333333</v>
      </c>
      <c r="D659" t="s">
        <v>116</v>
      </c>
      <c r="E659">
        <v>862.59</v>
      </c>
      <c r="F659" t="s">
        <v>29</v>
      </c>
      <c r="G659" t="s">
        <v>48</v>
      </c>
      <c r="H659" t="s">
        <v>8</v>
      </c>
      <c r="I659" t="s">
        <v>15</v>
      </c>
      <c r="J659" t="s">
        <v>18</v>
      </c>
      <c r="K659">
        <v>58</v>
      </c>
      <c r="L659" t="s">
        <v>49</v>
      </c>
      <c r="M659">
        <v>0</v>
      </c>
      <c r="N659">
        <f t="shared" si="43"/>
        <v>1</v>
      </c>
      <c r="P659" s="4">
        <f t="shared" si="40"/>
        <v>12</v>
      </c>
      <c r="Q659" s="4" t="str">
        <f t="shared" si="41"/>
        <v>Late Night</v>
      </c>
      <c r="R659" s="4" t="str">
        <f t="shared" si="42"/>
        <v>Low</v>
      </c>
    </row>
    <row r="660" spans="1:18">
      <c r="A660" t="s">
        <v>907</v>
      </c>
      <c r="B660" s="2">
        <v>46141</v>
      </c>
      <c r="C660" s="3">
        <v>0.683333333333333</v>
      </c>
      <c r="D660" t="s">
        <v>437</v>
      </c>
      <c r="E660">
        <v>1675.8</v>
      </c>
      <c r="F660" t="s">
        <v>30</v>
      </c>
      <c r="G660" t="s">
        <v>66</v>
      </c>
      <c r="H660" t="s">
        <v>6</v>
      </c>
      <c r="I660" t="s">
        <v>15</v>
      </c>
      <c r="J660" t="s">
        <v>20</v>
      </c>
      <c r="K660">
        <v>35</v>
      </c>
      <c r="L660" t="s">
        <v>49</v>
      </c>
      <c r="M660">
        <v>0</v>
      </c>
      <c r="N660">
        <f t="shared" si="43"/>
        <v>1</v>
      </c>
      <c r="P660" s="4">
        <f t="shared" si="40"/>
        <v>16</v>
      </c>
      <c r="Q660" s="4" t="str">
        <f t="shared" si="41"/>
        <v>Late Night</v>
      </c>
      <c r="R660" s="4" t="str">
        <f t="shared" si="42"/>
        <v>Medium</v>
      </c>
    </row>
    <row r="661" spans="1:18">
      <c r="A661" t="s">
        <v>908</v>
      </c>
      <c r="B661" s="2">
        <v>46141</v>
      </c>
      <c r="C661" s="3">
        <v>0.966666666666667</v>
      </c>
      <c r="D661" t="s">
        <v>410</v>
      </c>
      <c r="E661">
        <v>932.3</v>
      </c>
      <c r="F661" t="s">
        <v>29</v>
      </c>
      <c r="G661" t="s">
        <v>48</v>
      </c>
      <c r="H661" t="s">
        <v>5</v>
      </c>
      <c r="I661" t="s">
        <v>15</v>
      </c>
      <c r="J661" t="s">
        <v>22</v>
      </c>
      <c r="K661">
        <v>39</v>
      </c>
      <c r="L661" t="s">
        <v>49</v>
      </c>
      <c r="M661">
        <v>1</v>
      </c>
      <c r="N661">
        <f t="shared" si="43"/>
        <v>1</v>
      </c>
      <c r="P661" s="4">
        <f t="shared" si="40"/>
        <v>23</v>
      </c>
      <c r="Q661" s="4" t="str">
        <f t="shared" si="41"/>
        <v>Late Night</v>
      </c>
      <c r="R661" s="4" t="str">
        <f t="shared" si="42"/>
        <v>Low</v>
      </c>
    </row>
    <row r="662" spans="1:18">
      <c r="A662" t="s">
        <v>909</v>
      </c>
      <c r="B662" s="2">
        <v>46141</v>
      </c>
      <c r="C662" s="3">
        <v>0.0118055555555556</v>
      </c>
      <c r="D662" t="s">
        <v>292</v>
      </c>
      <c r="E662">
        <v>2004.24</v>
      </c>
      <c r="F662" t="s">
        <v>29</v>
      </c>
      <c r="G662" t="s">
        <v>48</v>
      </c>
      <c r="H662" t="s">
        <v>8</v>
      </c>
      <c r="I662" t="s">
        <v>15</v>
      </c>
      <c r="J662" t="s">
        <v>21</v>
      </c>
      <c r="K662">
        <v>19</v>
      </c>
      <c r="L662" t="s">
        <v>49</v>
      </c>
      <c r="M662">
        <v>0</v>
      </c>
      <c r="N662">
        <f t="shared" si="43"/>
        <v>1</v>
      </c>
      <c r="P662" s="4">
        <f t="shared" si="40"/>
        <v>0</v>
      </c>
      <c r="Q662" s="4" t="str">
        <f t="shared" si="41"/>
        <v>Late Night</v>
      </c>
      <c r="R662" s="4" t="str">
        <f t="shared" si="42"/>
        <v>Medium</v>
      </c>
    </row>
    <row r="663" spans="1:18">
      <c r="A663" t="s">
        <v>910</v>
      </c>
      <c r="B663" s="2">
        <v>46142</v>
      </c>
      <c r="C663" s="3">
        <v>0.230555555555556</v>
      </c>
      <c r="D663" t="s">
        <v>208</v>
      </c>
      <c r="E663">
        <v>280.49</v>
      </c>
      <c r="F663" t="s">
        <v>31</v>
      </c>
      <c r="G663" t="s">
        <v>48</v>
      </c>
      <c r="H663" t="s">
        <v>8</v>
      </c>
      <c r="I663" t="s">
        <v>14</v>
      </c>
      <c r="J663" t="s">
        <v>23</v>
      </c>
      <c r="K663">
        <v>38</v>
      </c>
      <c r="L663" t="s">
        <v>159</v>
      </c>
      <c r="M663">
        <v>0</v>
      </c>
      <c r="N663">
        <f t="shared" si="43"/>
        <v>1</v>
      </c>
      <c r="P663" s="4">
        <f t="shared" si="40"/>
        <v>5</v>
      </c>
      <c r="Q663" s="4" t="str">
        <f t="shared" si="41"/>
        <v>Late Night</v>
      </c>
      <c r="R663" s="4" t="str">
        <f t="shared" si="42"/>
        <v>Low</v>
      </c>
    </row>
    <row r="664" spans="1:18">
      <c r="A664" t="s">
        <v>911</v>
      </c>
      <c r="B664" s="2">
        <v>46142</v>
      </c>
      <c r="C664" s="3">
        <v>0.84375</v>
      </c>
      <c r="D664" t="s">
        <v>609</v>
      </c>
      <c r="E664">
        <v>73.48</v>
      </c>
      <c r="F664" t="s">
        <v>28</v>
      </c>
      <c r="G664" t="s">
        <v>71</v>
      </c>
      <c r="H664" t="s">
        <v>6</v>
      </c>
      <c r="I664" t="s">
        <v>15</v>
      </c>
      <c r="J664" t="s">
        <v>23</v>
      </c>
      <c r="K664">
        <v>53</v>
      </c>
      <c r="L664" t="s">
        <v>49</v>
      </c>
      <c r="M664">
        <v>0</v>
      </c>
      <c r="N664">
        <f t="shared" si="43"/>
        <v>1</v>
      </c>
      <c r="P664" s="4">
        <f t="shared" si="40"/>
        <v>20</v>
      </c>
      <c r="Q664" s="4" t="str">
        <f t="shared" si="41"/>
        <v>Late Night</v>
      </c>
      <c r="R664" s="4" t="str">
        <f t="shared" si="42"/>
        <v>Low</v>
      </c>
    </row>
    <row r="665" spans="1:18">
      <c r="A665" t="s">
        <v>912</v>
      </c>
      <c r="B665" s="2">
        <v>46142</v>
      </c>
      <c r="C665" s="3">
        <v>0.238888888888889</v>
      </c>
      <c r="D665" t="s">
        <v>139</v>
      </c>
      <c r="E665">
        <v>66.66</v>
      </c>
      <c r="F665" t="s">
        <v>31</v>
      </c>
      <c r="G665" t="s">
        <v>54</v>
      </c>
      <c r="H665" t="s">
        <v>8</v>
      </c>
      <c r="I665" t="s">
        <v>16</v>
      </c>
      <c r="J665" t="s">
        <v>22</v>
      </c>
      <c r="K665">
        <v>61</v>
      </c>
      <c r="L665" t="s">
        <v>49</v>
      </c>
      <c r="M665">
        <v>0</v>
      </c>
      <c r="N665">
        <f t="shared" si="43"/>
        <v>1</v>
      </c>
      <c r="P665" s="4">
        <f t="shared" si="40"/>
        <v>5</v>
      </c>
      <c r="Q665" s="4" t="str">
        <f t="shared" si="41"/>
        <v>Late Night</v>
      </c>
      <c r="R665" s="4" t="str">
        <f t="shared" si="42"/>
        <v>Low</v>
      </c>
    </row>
    <row r="666" spans="1:18">
      <c r="A666" t="s">
        <v>913</v>
      </c>
      <c r="B666" s="2">
        <v>46142</v>
      </c>
      <c r="C666" s="3">
        <v>0.486805555555556</v>
      </c>
      <c r="D666" t="s">
        <v>110</v>
      </c>
      <c r="E666">
        <v>732.4</v>
      </c>
      <c r="F666" t="s">
        <v>31</v>
      </c>
      <c r="G666" t="s">
        <v>54</v>
      </c>
      <c r="H666" t="s">
        <v>3</v>
      </c>
      <c r="I666" t="s">
        <v>15</v>
      </c>
      <c r="J666" t="s">
        <v>20</v>
      </c>
      <c r="K666">
        <v>56</v>
      </c>
      <c r="L666" t="s">
        <v>49</v>
      </c>
      <c r="M666">
        <v>0</v>
      </c>
      <c r="N666">
        <f t="shared" si="43"/>
        <v>1</v>
      </c>
      <c r="P666" s="4">
        <f t="shared" si="40"/>
        <v>11</v>
      </c>
      <c r="Q666" s="4" t="str">
        <f t="shared" si="41"/>
        <v>Late Night</v>
      </c>
      <c r="R666" s="4" t="str">
        <f t="shared" si="42"/>
        <v>Low</v>
      </c>
    </row>
    <row r="667" spans="1:18">
      <c r="A667" t="s">
        <v>914</v>
      </c>
      <c r="B667" s="2">
        <v>46142</v>
      </c>
      <c r="C667" s="3">
        <v>0.529861111111111</v>
      </c>
      <c r="D667" t="s">
        <v>221</v>
      </c>
      <c r="E667">
        <v>190.88</v>
      </c>
      <c r="F667" t="s">
        <v>29</v>
      </c>
      <c r="G667" t="s">
        <v>66</v>
      </c>
      <c r="H667" t="s">
        <v>7</v>
      </c>
      <c r="I667" t="s">
        <v>15</v>
      </c>
      <c r="J667" t="s">
        <v>24</v>
      </c>
      <c r="K667">
        <v>64</v>
      </c>
      <c r="L667" t="s">
        <v>49</v>
      </c>
      <c r="M667">
        <v>0</v>
      </c>
      <c r="N667">
        <f t="shared" si="43"/>
        <v>1</v>
      </c>
      <c r="P667" s="4">
        <f t="shared" si="40"/>
        <v>12</v>
      </c>
      <c r="Q667" s="4" t="str">
        <f t="shared" si="41"/>
        <v>Late Night</v>
      </c>
      <c r="R667" s="4" t="str">
        <f t="shared" si="42"/>
        <v>Low</v>
      </c>
    </row>
    <row r="668" spans="1:18">
      <c r="A668" t="s">
        <v>915</v>
      </c>
      <c r="B668" s="2">
        <v>46143</v>
      </c>
      <c r="C668" s="3">
        <v>0.500694444444444</v>
      </c>
      <c r="D668" t="s">
        <v>56</v>
      </c>
      <c r="E668">
        <v>205.64</v>
      </c>
      <c r="F668" t="s">
        <v>32</v>
      </c>
      <c r="G668" t="s">
        <v>66</v>
      </c>
      <c r="H668" t="s">
        <v>8</v>
      </c>
      <c r="I668" t="s">
        <v>15</v>
      </c>
      <c r="J668" t="s">
        <v>22</v>
      </c>
      <c r="K668">
        <v>56</v>
      </c>
      <c r="L668" t="s">
        <v>49</v>
      </c>
      <c r="M668">
        <v>0</v>
      </c>
      <c r="N668">
        <f t="shared" si="43"/>
        <v>1</v>
      </c>
      <c r="P668" s="4">
        <f t="shared" si="40"/>
        <v>12</v>
      </c>
      <c r="Q668" s="4" t="str">
        <f t="shared" si="41"/>
        <v>Late Night</v>
      </c>
      <c r="R668" s="4" t="str">
        <f t="shared" si="42"/>
        <v>Low</v>
      </c>
    </row>
    <row r="669" spans="1:18">
      <c r="A669" t="s">
        <v>916</v>
      </c>
      <c r="B669" s="2">
        <v>46143</v>
      </c>
      <c r="C669" s="3">
        <v>0.620833333333333</v>
      </c>
      <c r="D669" t="s">
        <v>121</v>
      </c>
      <c r="E669">
        <v>104.68</v>
      </c>
      <c r="F669" t="s">
        <v>31</v>
      </c>
      <c r="G669" t="s">
        <v>48</v>
      </c>
      <c r="H669" t="s">
        <v>7</v>
      </c>
      <c r="I669" t="s">
        <v>15</v>
      </c>
      <c r="J669" t="s">
        <v>24</v>
      </c>
      <c r="K669">
        <v>46</v>
      </c>
      <c r="L669" t="s">
        <v>49</v>
      </c>
      <c r="M669">
        <v>0</v>
      </c>
      <c r="N669">
        <f t="shared" si="43"/>
        <v>1</v>
      </c>
      <c r="P669" s="4">
        <f t="shared" si="40"/>
        <v>14</v>
      </c>
      <c r="Q669" s="4" t="str">
        <f t="shared" si="41"/>
        <v>Late Night</v>
      </c>
      <c r="R669" s="4" t="str">
        <f t="shared" si="42"/>
        <v>Low</v>
      </c>
    </row>
    <row r="670" spans="1:18">
      <c r="A670" t="s">
        <v>917</v>
      </c>
      <c r="B670" s="2">
        <v>46143</v>
      </c>
      <c r="C670" s="3">
        <v>0.856944444444444</v>
      </c>
      <c r="D670" t="s">
        <v>192</v>
      </c>
      <c r="E670">
        <v>118.02</v>
      </c>
      <c r="F670" t="s">
        <v>28</v>
      </c>
      <c r="G670" t="s">
        <v>59</v>
      </c>
      <c r="H670" t="s">
        <v>6</v>
      </c>
      <c r="I670" t="s">
        <v>15</v>
      </c>
      <c r="J670" t="s">
        <v>24</v>
      </c>
      <c r="K670">
        <v>43</v>
      </c>
      <c r="L670" t="s">
        <v>49</v>
      </c>
      <c r="M670">
        <v>0</v>
      </c>
      <c r="N670">
        <f t="shared" si="43"/>
        <v>1</v>
      </c>
      <c r="P670" s="4">
        <f t="shared" si="40"/>
        <v>20</v>
      </c>
      <c r="Q670" s="4" t="str">
        <f t="shared" si="41"/>
        <v>Late Night</v>
      </c>
      <c r="R670" s="4" t="str">
        <f t="shared" si="42"/>
        <v>Low</v>
      </c>
    </row>
    <row r="671" spans="1:18">
      <c r="A671" t="s">
        <v>918</v>
      </c>
      <c r="B671" s="2">
        <v>46143</v>
      </c>
      <c r="C671" s="3">
        <v>0.653472222222222</v>
      </c>
      <c r="D671" t="s">
        <v>264</v>
      </c>
      <c r="E671">
        <v>266.07</v>
      </c>
      <c r="F671" t="s">
        <v>30</v>
      </c>
      <c r="G671" t="s">
        <v>66</v>
      </c>
      <c r="H671" t="s">
        <v>10</v>
      </c>
      <c r="I671" t="s">
        <v>15</v>
      </c>
      <c r="J671" t="s">
        <v>20</v>
      </c>
      <c r="K671">
        <v>38</v>
      </c>
      <c r="L671" t="s">
        <v>49</v>
      </c>
      <c r="M671">
        <v>0</v>
      </c>
      <c r="N671">
        <f t="shared" si="43"/>
        <v>1</v>
      </c>
      <c r="P671" s="4">
        <f t="shared" si="40"/>
        <v>15</v>
      </c>
      <c r="Q671" s="4" t="str">
        <f t="shared" si="41"/>
        <v>Late Night</v>
      </c>
      <c r="R671" s="4" t="str">
        <f t="shared" si="42"/>
        <v>Low</v>
      </c>
    </row>
    <row r="672" spans="1:18">
      <c r="A672" t="s">
        <v>919</v>
      </c>
      <c r="B672" s="2">
        <v>46143</v>
      </c>
      <c r="C672" s="3">
        <v>0.897916666666667</v>
      </c>
      <c r="D672" t="s">
        <v>235</v>
      </c>
      <c r="E672">
        <v>63.1</v>
      </c>
      <c r="F672" t="s">
        <v>31</v>
      </c>
      <c r="G672" t="s">
        <v>59</v>
      </c>
      <c r="H672" t="s">
        <v>4</v>
      </c>
      <c r="I672" t="s">
        <v>15</v>
      </c>
      <c r="J672" t="s">
        <v>24</v>
      </c>
      <c r="K672">
        <v>34</v>
      </c>
      <c r="L672" t="s">
        <v>49</v>
      </c>
      <c r="M672">
        <v>0</v>
      </c>
      <c r="N672">
        <f t="shared" si="43"/>
        <v>1</v>
      </c>
      <c r="P672" s="4">
        <f t="shared" si="40"/>
        <v>21</v>
      </c>
      <c r="Q672" s="4" t="str">
        <f t="shared" si="41"/>
        <v>Late Night</v>
      </c>
      <c r="R672" s="4" t="str">
        <f t="shared" si="42"/>
        <v>Low</v>
      </c>
    </row>
    <row r="673" spans="1:18">
      <c r="A673" t="s">
        <v>920</v>
      </c>
      <c r="B673" s="2">
        <v>46143</v>
      </c>
      <c r="C673" s="3">
        <v>0.853472222222222</v>
      </c>
      <c r="D673" t="s">
        <v>921</v>
      </c>
      <c r="E673">
        <v>234.43</v>
      </c>
      <c r="F673" t="s">
        <v>28</v>
      </c>
      <c r="G673" t="s">
        <v>48</v>
      </c>
      <c r="H673" t="s">
        <v>4</v>
      </c>
      <c r="I673" t="s">
        <v>16</v>
      </c>
      <c r="J673" t="s">
        <v>21</v>
      </c>
      <c r="K673">
        <v>33</v>
      </c>
      <c r="L673" t="s">
        <v>49</v>
      </c>
      <c r="M673">
        <v>0</v>
      </c>
      <c r="N673">
        <f t="shared" si="43"/>
        <v>1</v>
      </c>
      <c r="P673" s="4">
        <f t="shared" si="40"/>
        <v>20</v>
      </c>
      <c r="Q673" s="4" t="str">
        <f t="shared" si="41"/>
        <v>Late Night</v>
      </c>
      <c r="R673" s="4" t="str">
        <f t="shared" si="42"/>
        <v>Low</v>
      </c>
    </row>
    <row r="674" spans="1:18">
      <c r="A674" t="s">
        <v>922</v>
      </c>
      <c r="B674" s="2">
        <v>46144</v>
      </c>
      <c r="C674" s="3">
        <v>0.456944444444444</v>
      </c>
      <c r="D674" t="s">
        <v>186</v>
      </c>
      <c r="E674">
        <v>821.46</v>
      </c>
      <c r="F674" t="s">
        <v>29</v>
      </c>
      <c r="G674" t="s">
        <v>66</v>
      </c>
      <c r="H674" t="s">
        <v>10</v>
      </c>
      <c r="I674" t="s">
        <v>14</v>
      </c>
      <c r="J674" t="s">
        <v>20</v>
      </c>
      <c r="K674">
        <v>48</v>
      </c>
      <c r="L674" t="s">
        <v>49</v>
      </c>
      <c r="M674">
        <v>0</v>
      </c>
      <c r="N674">
        <f t="shared" si="43"/>
        <v>1</v>
      </c>
      <c r="P674" s="4">
        <f t="shared" si="40"/>
        <v>10</v>
      </c>
      <c r="Q674" s="4" t="str">
        <f t="shared" si="41"/>
        <v>Late Night</v>
      </c>
      <c r="R674" s="4" t="str">
        <f t="shared" si="42"/>
        <v>Low</v>
      </c>
    </row>
    <row r="675" spans="1:18">
      <c r="A675" t="s">
        <v>923</v>
      </c>
      <c r="B675" s="2">
        <v>46144</v>
      </c>
      <c r="C675" s="3">
        <v>0.204166666666667</v>
      </c>
      <c r="D675" t="s">
        <v>420</v>
      </c>
      <c r="E675">
        <v>21.46</v>
      </c>
      <c r="F675" t="s">
        <v>29</v>
      </c>
      <c r="G675" t="s">
        <v>59</v>
      </c>
      <c r="H675" t="s">
        <v>10</v>
      </c>
      <c r="I675" t="s">
        <v>15</v>
      </c>
      <c r="J675" t="s">
        <v>22</v>
      </c>
      <c r="K675">
        <v>26</v>
      </c>
      <c r="L675" t="s">
        <v>168</v>
      </c>
      <c r="M675">
        <v>1</v>
      </c>
      <c r="N675">
        <f t="shared" si="43"/>
        <v>1</v>
      </c>
      <c r="P675" s="4">
        <f t="shared" si="40"/>
        <v>4</v>
      </c>
      <c r="Q675" s="4" t="str">
        <f t="shared" si="41"/>
        <v>Late Night</v>
      </c>
      <c r="R675" s="4" t="str">
        <f t="shared" si="42"/>
        <v>Low</v>
      </c>
    </row>
    <row r="676" spans="1:18">
      <c r="A676" t="s">
        <v>924</v>
      </c>
      <c r="B676" s="2">
        <v>46144</v>
      </c>
      <c r="C676" s="3">
        <v>0.133333333333333</v>
      </c>
      <c r="D676" t="s">
        <v>58</v>
      </c>
      <c r="E676">
        <v>38.81</v>
      </c>
      <c r="F676" t="s">
        <v>31</v>
      </c>
      <c r="G676" t="s">
        <v>48</v>
      </c>
      <c r="H676" t="s">
        <v>10</v>
      </c>
      <c r="I676" t="s">
        <v>15</v>
      </c>
      <c r="J676" t="s">
        <v>19</v>
      </c>
      <c r="K676">
        <v>48</v>
      </c>
      <c r="L676" t="s">
        <v>49</v>
      </c>
      <c r="M676">
        <v>0</v>
      </c>
      <c r="N676">
        <f t="shared" si="43"/>
        <v>1</v>
      </c>
      <c r="P676" s="4">
        <f t="shared" si="40"/>
        <v>3</v>
      </c>
      <c r="Q676" s="4" t="str">
        <f t="shared" si="41"/>
        <v>Late Night</v>
      </c>
      <c r="R676" s="4" t="str">
        <f t="shared" si="42"/>
        <v>Low</v>
      </c>
    </row>
    <row r="677" spans="1:18">
      <c r="A677" t="s">
        <v>925</v>
      </c>
      <c r="B677" s="2">
        <v>46144</v>
      </c>
      <c r="C677" s="3">
        <v>0.0916666666666667</v>
      </c>
      <c r="D677" t="s">
        <v>408</v>
      </c>
      <c r="E677">
        <v>356.24</v>
      </c>
      <c r="F677" t="s">
        <v>31</v>
      </c>
      <c r="G677" t="s">
        <v>54</v>
      </c>
      <c r="H677" t="s">
        <v>5</v>
      </c>
      <c r="I677" t="s">
        <v>15</v>
      </c>
      <c r="J677" t="s">
        <v>21</v>
      </c>
      <c r="K677">
        <v>31</v>
      </c>
      <c r="L677" t="s">
        <v>49</v>
      </c>
      <c r="M677">
        <v>0</v>
      </c>
      <c r="N677">
        <f t="shared" si="43"/>
        <v>1</v>
      </c>
      <c r="P677" s="4">
        <f t="shared" si="40"/>
        <v>2</v>
      </c>
      <c r="Q677" s="4" t="str">
        <f t="shared" si="41"/>
        <v>Late Night</v>
      </c>
      <c r="R677" s="4" t="str">
        <f t="shared" si="42"/>
        <v>Low</v>
      </c>
    </row>
    <row r="678" spans="1:18">
      <c r="A678" t="s">
        <v>926</v>
      </c>
      <c r="B678" s="2">
        <v>46144</v>
      </c>
      <c r="C678" s="3">
        <v>0.761805555555556</v>
      </c>
      <c r="D678" t="s">
        <v>77</v>
      </c>
      <c r="E678">
        <v>709.08</v>
      </c>
      <c r="F678" t="s">
        <v>29</v>
      </c>
      <c r="G678" t="s">
        <v>48</v>
      </c>
      <c r="H678" t="s">
        <v>4</v>
      </c>
      <c r="I678" t="s">
        <v>15</v>
      </c>
      <c r="J678" t="s">
        <v>18</v>
      </c>
      <c r="K678">
        <v>54</v>
      </c>
      <c r="L678" t="s">
        <v>49</v>
      </c>
      <c r="M678">
        <v>0</v>
      </c>
      <c r="N678">
        <f t="shared" si="43"/>
        <v>1</v>
      </c>
      <c r="P678" s="4">
        <f t="shared" si="40"/>
        <v>18</v>
      </c>
      <c r="Q678" s="4" t="str">
        <f t="shared" si="41"/>
        <v>Late Night</v>
      </c>
      <c r="R678" s="4" t="str">
        <f t="shared" si="42"/>
        <v>Low</v>
      </c>
    </row>
    <row r="679" spans="1:18">
      <c r="A679" t="s">
        <v>927</v>
      </c>
      <c r="B679" s="2">
        <v>46144</v>
      </c>
      <c r="C679" s="3">
        <v>0.813194444444444</v>
      </c>
      <c r="D679" t="s">
        <v>477</v>
      </c>
      <c r="E679">
        <v>111.06</v>
      </c>
      <c r="F679" t="s">
        <v>28</v>
      </c>
      <c r="G679" t="s">
        <v>48</v>
      </c>
      <c r="H679" t="s">
        <v>10</v>
      </c>
      <c r="I679" t="s">
        <v>15</v>
      </c>
      <c r="J679" t="s">
        <v>23</v>
      </c>
      <c r="K679">
        <v>19</v>
      </c>
      <c r="L679" t="s">
        <v>49</v>
      </c>
      <c r="M679">
        <v>0</v>
      </c>
      <c r="N679">
        <f t="shared" si="43"/>
        <v>1</v>
      </c>
      <c r="P679" s="4">
        <f t="shared" si="40"/>
        <v>19</v>
      </c>
      <c r="Q679" s="4" t="str">
        <f t="shared" si="41"/>
        <v>Late Night</v>
      </c>
      <c r="R679" s="4" t="str">
        <f t="shared" si="42"/>
        <v>Low</v>
      </c>
    </row>
    <row r="680" spans="1:18">
      <c r="A680" t="s">
        <v>928</v>
      </c>
      <c r="B680" s="2">
        <v>46145</v>
      </c>
      <c r="C680" s="3">
        <v>0.729861111111111</v>
      </c>
      <c r="D680" t="s">
        <v>127</v>
      </c>
      <c r="E680">
        <v>24.58</v>
      </c>
      <c r="F680" t="s">
        <v>31</v>
      </c>
      <c r="G680" t="s">
        <v>66</v>
      </c>
      <c r="H680" t="s">
        <v>5</v>
      </c>
      <c r="I680" t="s">
        <v>15</v>
      </c>
      <c r="J680" t="s">
        <v>22</v>
      </c>
      <c r="K680">
        <v>65</v>
      </c>
      <c r="L680" t="s">
        <v>49</v>
      </c>
      <c r="M680">
        <v>0</v>
      </c>
      <c r="N680">
        <f t="shared" si="43"/>
        <v>1</v>
      </c>
      <c r="P680" s="4">
        <f t="shared" si="40"/>
        <v>17</v>
      </c>
      <c r="Q680" s="4" t="str">
        <f t="shared" si="41"/>
        <v>Late Night</v>
      </c>
      <c r="R680" s="4" t="str">
        <f t="shared" si="42"/>
        <v>Low</v>
      </c>
    </row>
    <row r="681" spans="1:18">
      <c r="A681" t="s">
        <v>929</v>
      </c>
      <c r="B681" s="2">
        <v>46145</v>
      </c>
      <c r="C681" s="3">
        <v>0.606944444444444</v>
      </c>
      <c r="D681" t="s">
        <v>390</v>
      </c>
      <c r="E681">
        <v>758.94</v>
      </c>
      <c r="F681" t="s">
        <v>29</v>
      </c>
      <c r="G681" t="s">
        <v>48</v>
      </c>
      <c r="H681" t="s">
        <v>9</v>
      </c>
      <c r="I681" t="s">
        <v>15</v>
      </c>
      <c r="J681" t="s">
        <v>22</v>
      </c>
      <c r="K681">
        <v>63</v>
      </c>
      <c r="L681" t="s">
        <v>49</v>
      </c>
      <c r="M681">
        <v>0</v>
      </c>
      <c r="N681">
        <f t="shared" si="43"/>
        <v>1</v>
      </c>
      <c r="P681" s="4">
        <f t="shared" si="40"/>
        <v>14</v>
      </c>
      <c r="Q681" s="4" t="str">
        <f t="shared" si="41"/>
        <v>Late Night</v>
      </c>
      <c r="R681" s="4" t="str">
        <f t="shared" si="42"/>
        <v>Low</v>
      </c>
    </row>
    <row r="682" spans="1:18">
      <c r="A682" t="s">
        <v>930</v>
      </c>
      <c r="B682" s="2">
        <v>46145</v>
      </c>
      <c r="C682" s="3">
        <v>0.373611111111111</v>
      </c>
      <c r="D682" t="s">
        <v>262</v>
      </c>
      <c r="E682">
        <v>80.55</v>
      </c>
      <c r="F682" t="s">
        <v>31</v>
      </c>
      <c r="G682" t="s">
        <v>54</v>
      </c>
      <c r="H682" t="s">
        <v>8</v>
      </c>
      <c r="I682" t="s">
        <v>15</v>
      </c>
      <c r="J682" t="s">
        <v>22</v>
      </c>
      <c r="K682">
        <v>31</v>
      </c>
      <c r="L682" t="s">
        <v>159</v>
      </c>
      <c r="M682">
        <v>0</v>
      </c>
      <c r="N682">
        <f t="shared" si="43"/>
        <v>1</v>
      </c>
      <c r="P682" s="4">
        <f t="shared" si="40"/>
        <v>8</v>
      </c>
      <c r="Q682" s="4" t="str">
        <f t="shared" si="41"/>
        <v>Late Night</v>
      </c>
      <c r="R682" s="4" t="str">
        <f t="shared" si="42"/>
        <v>Low</v>
      </c>
    </row>
    <row r="683" spans="1:18">
      <c r="A683" t="s">
        <v>931</v>
      </c>
      <c r="B683" s="2">
        <v>46145</v>
      </c>
      <c r="C683" s="3">
        <v>0.693055555555556</v>
      </c>
      <c r="D683" t="s">
        <v>346</v>
      </c>
      <c r="E683">
        <v>126.31</v>
      </c>
      <c r="F683" t="s">
        <v>29</v>
      </c>
      <c r="G683" t="s">
        <v>59</v>
      </c>
      <c r="H683" t="s">
        <v>5</v>
      </c>
      <c r="I683" t="s">
        <v>16</v>
      </c>
      <c r="J683" t="s">
        <v>21</v>
      </c>
      <c r="K683">
        <v>50</v>
      </c>
      <c r="L683" t="s">
        <v>49</v>
      </c>
      <c r="M683">
        <v>0</v>
      </c>
      <c r="N683">
        <f t="shared" si="43"/>
        <v>1</v>
      </c>
      <c r="P683" s="4">
        <f t="shared" si="40"/>
        <v>16</v>
      </c>
      <c r="Q683" s="4" t="str">
        <f t="shared" si="41"/>
        <v>Late Night</v>
      </c>
      <c r="R683" s="4" t="str">
        <f t="shared" si="42"/>
        <v>Low</v>
      </c>
    </row>
    <row r="684" spans="1:18">
      <c r="A684" t="s">
        <v>932</v>
      </c>
      <c r="B684" s="2">
        <v>46145</v>
      </c>
      <c r="C684" s="3">
        <v>0.572916666666667</v>
      </c>
      <c r="D684" t="s">
        <v>457</v>
      </c>
      <c r="E684">
        <v>249.4</v>
      </c>
      <c r="F684" t="s">
        <v>31</v>
      </c>
      <c r="G684" t="s">
        <v>48</v>
      </c>
      <c r="H684" t="s">
        <v>4</v>
      </c>
      <c r="I684" t="s">
        <v>15</v>
      </c>
      <c r="J684" t="s">
        <v>18</v>
      </c>
      <c r="K684">
        <v>52</v>
      </c>
      <c r="L684" t="s">
        <v>49</v>
      </c>
      <c r="M684">
        <v>0</v>
      </c>
      <c r="N684">
        <f t="shared" si="43"/>
        <v>1</v>
      </c>
      <c r="P684" s="4">
        <f t="shared" si="40"/>
        <v>13</v>
      </c>
      <c r="Q684" s="4" t="str">
        <f t="shared" si="41"/>
        <v>Late Night</v>
      </c>
      <c r="R684" s="4" t="str">
        <f t="shared" si="42"/>
        <v>Low</v>
      </c>
    </row>
    <row r="685" spans="1:18">
      <c r="A685" t="s">
        <v>933</v>
      </c>
      <c r="B685" s="2">
        <v>46146</v>
      </c>
      <c r="C685" s="3">
        <v>0.61875</v>
      </c>
      <c r="D685" t="s">
        <v>462</v>
      </c>
      <c r="E685">
        <v>93.09</v>
      </c>
      <c r="F685" t="s">
        <v>32</v>
      </c>
      <c r="G685" t="s">
        <v>71</v>
      </c>
      <c r="H685" t="s">
        <v>6</v>
      </c>
      <c r="I685" t="s">
        <v>16</v>
      </c>
      <c r="J685" t="s">
        <v>19</v>
      </c>
      <c r="K685">
        <v>56</v>
      </c>
      <c r="L685" t="s">
        <v>49</v>
      </c>
      <c r="M685">
        <v>0</v>
      </c>
      <c r="N685">
        <f t="shared" si="43"/>
        <v>1</v>
      </c>
      <c r="P685" s="4">
        <f t="shared" si="40"/>
        <v>14</v>
      </c>
      <c r="Q685" s="4" t="str">
        <f t="shared" si="41"/>
        <v>Late Night</v>
      </c>
      <c r="R685" s="4" t="str">
        <f t="shared" si="42"/>
        <v>Low</v>
      </c>
    </row>
    <row r="686" spans="1:18">
      <c r="A686" t="s">
        <v>934</v>
      </c>
      <c r="B686" s="2">
        <v>46146</v>
      </c>
      <c r="C686" s="3">
        <v>0.0194444444444444</v>
      </c>
      <c r="D686" t="s">
        <v>361</v>
      </c>
      <c r="E686">
        <v>75.48</v>
      </c>
      <c r="F686" t="s">
        <v>31</v>
      </c>
      <c r="G686" t="s">
        <v>48</v>
      </c>
      <c r="H686" t="s">
        <v>9</v>
      </c>
      <c r="I686" t="s">
        <v>15</v>
      </c>
      <c r="J686" t="s">
        <v>20</v>
      </c>
      <c r="K686">
        <v>64</v>
      </c>
      <c r="L686" t="s">
        <v>49</v>
      </c>
      <c r="M686">
        <v>0</v>
      </c>
      <c r="N686">
        <f t="shared" si="43"/>
        <v>1</v>
      </c>
      <c r="P686" s="4">
        <f t="shared" si="40"/>
        <v>0</v>
      </c>
      <c r="Q686" s="4" t="str">
        <f t="shared" si="41"/>
        <v>Late Night</v>
      </c>
      <c r="R686" s="4" t="str">
        <f t="shared" si="42"/>
        <v>Low</v>
      </c>
    </row>
    <row r="687" spans="1:18">
      <c r="A687" t="s">
        <v>935</v>
      </c>
      <c r="B687" s="2">
        <v>46146</v>
      </c>
      <c r="C687" s="3">
        <v>0.866666666666667</v>
      </c>
      <c r="D687" t="s">
        <v>253</v>
      </c>
      <c r="E687">
        <v>76.88</v>
      </c>
      <c r="F687" t="s">
        <v>31</v>
      </c>
      <c r="G687" t="s">
        <v>48</v>
      </c>
      <c r="H687" t="s">
        <v>4</v>
      </c>
      <c r="I687" t="s">
        <v>15</v>
      </c>
      <c r="J687" t="s">
        <v>18</v>
      </c>
      <c r="K687">
        <v>37</v>
      </c>
      <c r="L687" t="s">
        <v>49</v>
      </c>
      <c r="M687">
        <v>0</v>
      </c>
      <c r="N687">
        <f t="shared" si="43"/>
        <v>1</v>
      </c>
      <c r="P687" s="4">
        <f t="shared" si="40"/>
        <v>20</v>
      </c>
      <c r="Q687" s="4" t="str">
        <f t="shared" si="41"/>
        <v>Late Night</v>
      </c>
      <c r="R687" s="4" t="str">
        <f t="shared" si="42"/>
        <v>Low</v>
      </c>
    </row>
    <row r="688" spans="1:18">
      <c r="A688" t="s">
        <v>936</v>
      </c>
      <c r="B688" s="2">
        <v>46146</v>
      </c>
      <c r="C688" s="3">
        <v>0.894444444444444</v>
      </c>
      <c r="D688" t="s">
        <v>116</v>
      </c>
      <c r="E688">
        <v>1162.04</v>
      </c>
      <c r="F688" t="s">
        <v>31</v>
      </c>
      <c r="G688" t="s">
        <v>48</v>
      </c>
      <c r="H688" t="s">
        <v>8</v>
      </c>
      <c r="I688" t="s">
        <v>15</v>
      </c>
      <c r="J688" t="s">
        <v>21</v>
      </c>
      <c r="K688">
        <v>19</v>
      </c>
      <c r="L688" t="s">
        <v>49</v>
      </c>
      <c r="M688">
        <v>0</v>
      </c>
      <c r="N688">
        <f t="shared" si="43"/>
        <v>1</v>
      </c>
      <c r="P688" s="4">
        <f t="shared" si="40"/>
        <v>21</v>
      </c>
      <c r="Q688" s="4" t="str">
        <f t="shared" si="41"/>
        <v>Late Night</v>
      </c>
      <c r="R688" s="4" t="str">
        <f t="shared" si="42"/>
        <v>Medium</v>
      </c>
    </row>
    <row r="689" spans="1:18">
      <c r="A689" t="s">
        <v>937</v>
      </c>
      <c r="B689" s="2">
        <v>46146</v>
      </c>
      <c r="C689" s="3">
        <v>0.911111111111111</v>
      </c>
      <c r="D689" t="s">
        <v>324</v>
      </c>
      <c r="E689">
        <v>578.02</v>
      </c>
      <c r="F689" t="s">
        <v>31</v>
      </c>
      <c r="G689" t="s">
        <v>48</v>
      </c>
      <c r="H689" t="s">
        <v>5</v>
      </c>
      <c r="I689" t="s">
        <v>15</v>
      </c>
      <c r="J689" t="s">
        <v>22</v>
      </c>
      <c r="K689">
        <v>58</v>
      </c>
      <c r="L689" t="s">
        <v>49</v>
      </c>
      <c r="M689">
        <v>0</v>
      </c>
      <c r="N689">
        <f t="shared" si="43"/>
        <v>1</v>
      </c>
      <c r="P689" s="4">
        <f t="shared" si="40"/>
        <v>21</v>
      </c>
      <c r="Q689" s="4" t="str">
        <f t="shared" si="41"/>
        <v>Late Night</v>
      </c>
      <c r="R689" s="4" t="str">
        <f t="shared" si="42"/>
        <v>Low</v>
      </c>
    </row>
    <row r="690" spans="1:18">
      <c r="A690" t="s">
        <v>938</v>
      </c>
      <c r="B690" s="2">
        <v>46146</v>
      </c>
      <c r="C690" s="3">
        <v>0.113194444444444</v>
      </c>
      <c r="D690" t="s">
        <v>212</v>
      </c>
      <c r="E690">
        <v>321.99</v>
      </c>
      <c r="F690" t="s">
        <v>30</v>
      </c>
      <c r="G690" t="s">
        <v>48</v>
      </c>
      <c r="H690" t="s">
        <v>3</v>
      </c>
      <c r="I690" t="s">
        <v>15</v>
      </c>
      <c r="J690" t="s">
        <v>23</v>
      </c>
      <c r="K690">
        <v>36</v>
      </c>
      <c r="L690" t="s">
        <v>49</v>
      </c>
      <c r="M690">
        <v>0</v>
      </c>
      <c r="N690">
        <f t="shared" si="43"/>
        <v>1</v>
      </c>
      <c r="P690" s="4">
        <f t="shared" si="40"/>
        <v>2</v>
      </c>
      <c r="Q690" s="4" t="str">
        <f t="shared" si="41"/>
        <v>Late Night</v>
      </c>
      <c r="R690" s="4" t="str">
        <f t="shared" si="42"/>
        <v>Low</v>
      </c>
    </row>
    <row r="691" spans="1:18">
      <c r="A691" t="s">
        <v>939</v>
      </c>
      <c r="B691" s="2">
        <v>46147</v>
      </c>
      <c r="C691" s="3">
        <v>0.663888888888889</v>
      </c>
      <c r="D691" t="s">
        <v>190</v>
      </c>
      <c r="E691">
        <v>20.36</v>
      </c>
      <c r="F691" t="s">
        <v>32</v>
      </c>
      <c r="G691" t="s">
        <v>59</v>
      </c>
      <c r="H691" t="s">
        <v>7</v>
      </c>
      <c r="I691" t="s">
        <v>15</v>
      </c>
      <c r="J691" t="s">
        <v>22</v>
      </c>
      <c r="K691">
        <v>54</v>
      </c>
      <c r="L691" t="s">
        <v>159</v>
      </c>
      <c r="M691">
        <v>0</v>
      </c>
      <c r="N691">
        <f t="shared" si="43"/>
        <v>1</v>
      </c>
      <c r="P691" s="4">
        <f t="shared" si="40"/>
        <v>15</v>
      </c>
      <c r="Q691" s="4" t="str">
        <f t="shared" si="41"/>
        <v>Late Night</v>
      </c>
      <c r="R691" s="4" t="str">
        <f t="shared" si="42"/>
        <v>Low</v>
      </c>
    </row>
    <row r="692" spans="1:18">
      <c r="A692" t="s">
        <v>940</v>
      </c>
      <c r="B692" s="2">
        <v>46147</v>
      </c>
      <c r="C692" s="3">
        <v>0.927083333333333</v>
      </c>
      <c r="D692" t="s">
        <v>395</v>
      </c>
      <c r="E692">
        <v>323.17</v>
      </c>
      <c r="F692" t="s">
        <v>31</v>
      </c>
      <c r="G692" t="s">
        <v>71</v>
      </c>
      <c r="H692" t="s">
        <v>8</v>
      </c>
      <c r="I692" t="s">
        <v>15</v>
      </c>
      <c r="J692" t="s">
        <v>20</v>
      </c>
      <c r="K692">
        <v>35</v>
      </c>
      <c r="L692" t="s">
        <v>49</v>
      </c>
      <c r="M692">
        <v>0</v>
      </c>
      <c r="N692">
        <f t="shared" si="43"/>
        <v>1</v>
      </c>
      <c r="P692" s="4">
        <f t="shared" si="40"/>
        <v>22</v>
      </c>
      <c r="Q692" s="4" t="str">
        <f t="shared" si="41"/>
        <v>Late Night</v>
      </c>
      <c r="R692" s="4" t="str">
        <f t="shared" si="42"/>
        <v>Low</v>
      </c>
    </row>
    <row r="693" spans="1:18">
      <c r="A693" t="s">
        <v>941</v>
      </c>
      <c r="B693" s="2">
        <v>46147</v>
      </c>
      <c r="C693" s="3">
        <v>0.454861111111111</v>
      </c>
      <c r="D693" t="s">
        <v>174</v>
      </c>
      <c r="E693">
        <v>306.19</v>
      </c>
      <c r="F693" t="s">
        <v>28</v>
      </c>
      <c r="G693" t="s">
        <v>48</v>
      </c>
      <c r="H693" t="s">
        <v>4</v>
      </c>
      <c r="I693" t="s">
        <v>15</v>
      </c>
      <c r="J693" t="s">
        <v>24</v>
      </c>
      <c r="K693">
        <v>33</v>
      </c>
      <c r="L693" t="s">
        <v>49</v>
      </c>
      <c r="M693">
        <v>0</v>
      </c>
      <c r="N693">
        <f t="shared" si="43"/>
        <v>1</v>
      </c>
      <c r="P693" s="4">
        <f t="shared" si="40"/>
        <v>10</v>
      </c>
      <c r="Q693" s="4" t="str">
        <f t="shared" si="41"/>
        <v>Late Night</v>
      </c>
      <c r="R693" s="4" t="str">
        <f t="shared" si="42"/>
        <v>Low</v>
      </c>
    </row>
    <row r="694" spans="1:18">
      <c r="A694" t="s">
        <v>942</v>
      </c>
      <c r="B694" s="2">
        <v>46147</v>
      </c>
      <c r="C694" s="3">
        <v>0.488194444444444</v>
      </c>
      <c r="D694" t="s">
        <v>621</v>
      </c>
      <c r="E694">
        <v>50.49</v>
      </c>
      <c r="F694" t="s">
        <v>29</v>
      </c>
      <c r="G694" t="s">
        <v>59</v>
      </c>
      <c r="H694" t="s">
        <v>10</v>
      </c>
      <c r="I694" t="s">
        <v>15</v>
      </c>
      <c r="J694" t="s">
        <v>23</v>
      </c>
      <c r="K694">
        <v>21</v>
      </c>
      <c r="L694" t="s">
        <v>49</v>
      </c>
      <c r="M694">
        <v>0</v>
      </c>
      <c r="N694">
        <f t="shared" si="43"/>
        <v>1</v>
      </c>
      <c r="P694" s="4">
        <f t="shared" si="40"/>
        <v>11</v>
      </c>
      <c r="Q694" s="4" t="str">
        <f t="shared" si="41"/>
        <v>Late Night</v>
      </c>
      <c r="R694" s="4" t="str">
        <f t="shared" si="42"/>
        <v>Low</v>
      </c>
    </row>
    <row r="695" spans="1:18">
      <c r="A695" t="s">
        <v>943</v>
      </c>
      <c r="B695" s="2">
        <v>46147</v>
      </c>
      <c r="C695" s="3">
        <v>0.406944444444444</v>
      </c>
      <c r="D695" t="s">
        <v>125</v>
      </c>
      <c r="E695">
        <v>234.79</v>
      </c>
      <c r="F695" t="s">
        <v>30</v>
      </c>
      <c r="G695" t="s">
        <v>66</v>
      </c>
      <c r="H695" t="s">
        <v>5</v>
      </c>
      <c r="I695" t="s">
        <v>15</v>
      </c>
      <c r="J695" t="s">
        <v>22</v>
      </c>
      <c r="K695">
        <v>29</v>
      </c>
      <c r="L695" t="s">
        <v>159</v>
      </c>
      <c r="M695">
        <v>0</v>
      </c>
      <c r="N695">
        <f t="shared" si="43"/>
        <v>1</v>
      </c>
      <c r="P695" s="4">
        <f t="shared" si="40"/>
        <v>9</v>
      </c>
      <c r="Q695" s="4" t="str">
        <f t="shared" si="41"/>
        <v>Late Night</v>
      </c>
      <c r="R695" s="4" t="str">
        <f t="shared" si="42"/>
        <v>Low</v>
      </c>
    </row>
    <row r="696" spans="1:18">
      <c r="A696" t="s">
        <v>944</v>
      </c>
      <c r="B696" s="2">
        <v>46148</v>
      </c>
      <c r="C696" s="3">
        <v>0.663888888888889</v>
      </c>
      <c r="D696" t="s">
        <v>594</v>
      </c>
      <c r="E696">
        <v>518.79</v>
      </c>
      <c r="F696" t="s">
        <v>29</v>
      </c>
      <c r="G696" t="s">
        <v>66</v>
      </c>
      <c r="H696" t="s">
        <v>10</v>
      </c>
      <c r="I696" t="s">
        <v>15</v>
      </c>
      <c r="J696" t="s">
        <v>19</v>
      </c>
      <c r="K696">
        <v>46</v>
      </c>
      <c r="L696" t="s">
        <v>49</v>
      </c>
      <c r="M696">
        <v>0</v>
      </c>
      <c r="N696">
        <f t="shared" si="43"/>
        <v>1</v>
      </c>
      <c r="P696" s="4">
        <f t="shared" si="40"/>
        <v>15</v>
      </c>
      <c r="Q696" s="4" t="str">
        <f t="shared" si="41"/>
        <v>Late Night</v>
      </c>
      <c r="R696" s="4" t="str">
        <f t="shared" si="42"/>
        <v>Low</v>
      </c>
    </row>
    <row r="697" spans="1:18">
      <c r="A697" t="s">
        <v>945</v>
      </c>
      <c r="B697" s="2">
        <v>46148</v>
      </c>
      <c r="C697" s="3">
        <v>0.297916666666667</v>
      </c>
      <c r="D697" t="s">
        <v>277</v>
      </c>
      <c r="E697">
        <v>320.33</v>
      </c>
      <c r="F697" t="s">
        <v>31</v>
      </c>
      <c r="G697" t="s">
        <v>54</v>
      </c>
      <c r="H697" t="s">
        <v>10</v>
      </c>
      <c r="I697" t="s">
        <v>15</v>
      </c>
      <c r="J697" t="s">
        <v>23</v>
      </c>
      <c r="K697">
        <v>24</v>
      </c>
      <c r="L697" t="s">
        <v>49</v>
      </c>
      <c r="M697">
        <v>0</v>
      </c>
      <c r="N697">
        <f t="shared" si="43"/>
        <v>1</v>
      </c>
      <c r="P697" s="4">
        <f t="shared" si="40"/>
        <v>7</v>
      </c>
      <c r="Q697" s="4" t="str">
        <f t="shared" si="41"/>
        <v>Late Night</v>
      </c>
      <c r="R697" s="4" t="str">
        <f t="shared" si="42"/>
        <v>Low</v>
      </c>
    </row>
    <row r="698" spans="1:18">
      <c r="A698" t="s">
        <v>946</v>
      </c>
      <c r="B698" s="2">
        <v>46148</v>
      </c>
      <c r="C698" s="3">
        <v>0.228472222222222</v>
      </c>
      <c r="D698" t="s">
        <v>528</v>
      </c>
      <c r="E698">
        <v>91.82</v>
      </c>
      <c r="F698" t="s">
        <v>28</v>
      </c>
      <c r="G698" t="s">
        <v>48</v>
      </c>
      <c r="H698" t="s">
        <v>10</v>
      </c>
      <c r="I698" t="s">
        <v>15</v>
      </c>
      <c r="J698" t="s">
        <v>24</v>
      </c>
      <c r="K698">
        <v>31</v>
      </c>
      <c r="L698" t="s">
        <v>49</v>
      </c>
      <c r="M698">
        <v>0</v>
      </c>
      <c r="N698">
        <f t="shared" si="43"/>
        <v>1</v>
      </c>
      <c r="P698" s="4">
        <f t="shared" si="40"/>
        <v>5</v>
      </c>
      <c r="Q698" s="4" t="str">
        <f t="shared" si="41"/>
        <v>Late Night</v>
      </c>
      <c r="R698" s="4" t="str">
        <f t="shared" si="42"/>
        <v>Low</v>
      </c>
    </row>
    <row r="699" spans="1:18">
      <c r="A699" t="s">
        <v>947</v>
      </c>
      <c r="B699" s="2">
        <v>46148</v>
      </c>
      <c r="C699" s="3">
        <v>0.475</v>
      </c>
      <c r="D699" t="s">
        <v>584</v>
      </c>
      <c r="E699">
        <v>183.69</v>
      </c>
      <c r="F699" t="s">
        <v>29</v>
      </c>
      <c r="G699" t="s">
        <v>48</v>
      </c>
      <c r="H699" t="s">
        <v>10</v>
      </c>
      <c r="I699" t="s">
        <v>15</v>
      </c>
      <c r="J699" t="s">
        <v>18</v>
      </c>
      <c r="K699">
        <v>29</v>
      </c>
      <c r="L699" t="s">
        <v>49</v>
      </c>
      <c r="M699">
        <v>0</v>
      </c>
      <c r="N699">
        <f t="shared" si="43"/>
        <v>1</v>
      </c>
      <c r="P699" s="4">
        <f t="shared" si="40"/>
        <v>11</v>
      </c>
      <c r="Q699" s="4" t="str">
        <f t="shared" si="41"/>
        <v>Late Night</v>
      </c>
      <c r="R699" s="4" t="str">
        <f t="shared" si="42"/>
        <v>Low</v>
      </c>
    </row>
    <row r="700" spans="1:18">
      <c r="A700" t="s">
        <v>948</v>
      </c>
      <c r="B700" s="2">
        <v>46148</v>
      </c>
      <c r="C700" s="3">
        <v>0.984722222222222</v>
      </c>
      <c r="D700" t="s">
        <v>141</v>
      </c>
      <c r="E700">
        <v>376.29</v>
      </c>
      <c r="F700" t="s">
        <v>31</v>
      </c>
      <c r="G700" t="s">
        <v>59</v>
      </c>
      <c r="H700" t="s">
        <v>10</v>
      </c>
      <c r="I700" t="s">
        <v>16</v>
      </c>
      <c r="J700" t="s">
        <v>21</v>
      </c>
      <c r="K700">
        <v>52</v>
      </c>
      <c r="L700" t="s">
        <v>49</v>
      </c>
      <c r="M700">
        <v>0</v>
      </c>
      <c r="N700">
        <f t="shared" si="43"/>
        <v>1</v>
      </c>
      <c r="P700" s="4">
        <f t="shared" si="40"/>
        <v>23</v>
      </c>
      <c r="Q700" s="4" t="str">
        <f t="shared" si="41"/>
        <v>Late Night</v>
      </c>
      <c r="R700" s="4" t="str">
        <f t="shared" si="42"/>
        <v>Low</v>
      </c>
    </row>
    <row r="701" spans="1:18">
      <c r="A701" t="s">
        <v>949</v>
      </c>
      <c r="B701" s="2">
        <v>46148</v>
      </c>
      <c r="C701" s="3">
        <v>0.846527777777778</v>
      </c>
      <c r="D701" t="s">
        <v>517</v>
      </c>
      <c r="E701">
        <v>192.38</v>
      </c>
      <c r="F701" t="s">
        <v>29</v>
      </c>
      <c r="G701" t="s">
        <v>66</v>
      </c>
      <c r="H701" t="s">
        <v>9</v>
      </c>
      <c r="I701" t="s">
        <v>15</v>
      </c>
      <c r="J701" t="s">
        <v>22</v>
      </c>
      <c r="K701">
        <v>22</v>
      </c>
      <c r="L701" t="s">
        <v>49</v>
      </c>
      <c r="M701">
        <v>0</v>
      </c>
      <c r="N701">
        <f t="shared" si="43"/>
        <v>1</v>
      </c>
      <c r="P701" s="4">
        <f t="shared" si="40"/>
        <v>20</v>
      </c>
      <c r="Q701" s="4" t="str">
        <f t="shared" si="41"/>
        <v>Late Night</v>
      </c>
      <c r="R701" s="4" t="str">
        <f t="shared" si="42"/>
        <v>Low</v>
      </c>
    </row>
    <row r="702" spans="1:18">
      <c r="A702" t="s">
        <v>950</v>
      </c>
      <c r="B702" s="2">
        <v>46149</v>
      </c>
      <c r="C702" s="3">
        <v>0.294444444444444</v>
      </c>
      <c r="D702" t="s">
        <v>80</v>
      </c>
      <c r="E702">
        <v>635.42</v>
      </c>
      <c r="F702" t="s">
        <v>31</v>
      </c>
      <c r="G702" t="s">
        <v>48</v>
      </c>
      <c r="H702" t="s">
        <v>4</v>
      </c>
      <c r="I702" t="s">
        <v>14</v>
      </c>
      <c r="J702" t="s">
        <v>20</v>
      </c>
      <c r="K702">
        <v>34</v>
      </c>
      <c r="L702" t="s">
        <v>49</v>
      </c>
      <c r="M702">
        <v>0</v>
      </c>
      <c r="N702">
        <f t="shared" si="43"/>
        <v>1</v>
      </c>
      <c r="P702" s="4">
        <f t="shared" si="40"/>
        <v>7</v>
      </c>
      <c r="Q702" s="4" t="str">
        <f t="shared" si="41"/>
        <v>Late Night</v>
      </c>
      <c r="R702" s="4" t="str">
        <f t="shared" si="42"/>
        <v>Low</v>
      </c>
    </row>
    <row r="703" spans="1:18">
      <c r="A703" t="s">
        <v>951</v>
      </c>
      <c r="B703" s="2">
        <v>46149</v>
      </c>
      <c r="C703" s="3">
        <v>0.125</v>
      </c>
      <c r="D703" t="s">
        <v>110</v>
      </c>
      <c r="E703">
        <v>269.26</v>
      </c>
      <c r="F703" t="s">
        <v>29</v>
      </c>
      <c r="G703" t="s">
        <v>54</v>
      </c>
      <c r="H703" t="s">
        <v>8</v>
      </c>
      <c r="I703" t="s">
        <v>15</v>
      </c>
      <c r="J703" t="s">
        <v>18</v>
      </c>
      <c r="K703">
        <v>59</v>
      </c>
      <c r="L703" t="s">
        <v>49</v>
      </c>
      <c r="M703">
        <v>0</v>
      </c>
      <c r="N703">
        <f t="shared" si="43"/>
        <v>1</v>
      </c>
      <c r="P703" s="4">
        <f t="shared" si="40"/>
        <v>3</v>
      </c>
      <c r="Q703" s="4" t="str">
        <f t="shared" si="41"/>
        <v>Late Night</v>
      </c>
      <c r="R703" s="4" t="str">
        <f t="shared" si="42"/>
        <v>Low</v>
      </c>
    </row>
    <row r="704" spans="1:18">
      <c r="A704" t="s">
        <v>952</v>
      </c>
      <c r="B704" s="2">
        <v>46149</v>
      </c>
      <c r="C704" s="3">
        <v>0.311805555555556</v>
      </c>
      <c r="D704" t="s">
        <v>385</v>
      </c>
      <c r="E704">
        <v>384.88</v>
      </c>
      <c r="F704" t="s">
        <v>31</v>
      </c>
      <c r="G704" t="s">
        <v>71</v>
      </c>
      <c r="H704" t="s">
        <v>4</v>
      </c>
      <c r="I704" t="s">
        <v>15</v>
      </c>
      <c r="J704" t="s">
        <v>22</v>
      </c>
      <c r="K704">
        <v>49</v>
      </c>
      <c r="L704" t="s">
        <v>49</v>
      </c>
      <c r="M704">
        <v>0</v>
      </c>
      <c r="N704">
        <f t="shared" si="43"/>
        <v>1</v>
      </c>
      <c r="P704" s="4">
        <f t="shared" si="40"/>
        <v>7</v>
      </c>
      <c r="Q704" s="4" t="str">
        <f t="shared" si="41"/>
        <v>Late Night</v>
      </c>
      <c r="R704" s="4" t="str">
        <f t="shared" si="42"/>
        <v>Low</v>
      </c>
    </row>
    <row r="705" spans="1:18">
      <c r="A705" t="s">
        <v>953</v>
      </c>
      <c r="B705" s="2">
        <v>46149</v>
      </c>
      <c r="C705" s="3">
        <v>0.741666666666667</v>
      </c>
      <c r="D705" t="s">
        <v>68</v>
      </c>
      <c r="E705">
        <v>412.16</v>
      </c>
      <c r="F705" t="s">
        <v>29</v>
      </c>
      <c r="G705" t="s">
        <v>66</v>
      </c>
      <c r="H705" t="s">
        <v>8</v>
      </c>
      <c r="I705" t="s">
        <v>15</v>
      </c>
      <c r="J705" t="s">
        <v>18</v>
      </c>
      <c r="K705">
        <v>27</v>
      </c>
      <c r="L705" t="s">
        <v>159</v>
      </c>
      <c r="M705">
        <v>0</v>
      </c>
      <c r="N705">
        <f t="shared" si="43"/>
        <v>1</v>
      </c>
      <c r="P705" s="4">
        <f t="shared" si="40"/>
        <v>17</v>
      </c>
      <c r="Q705" s="4" t="str">
        <f t="shared" si="41"/>
        <v>Late Night</v>
      </c>
      <c r="R705" s="4" t="str">
        <f t="shared" si="42"/>
        <v>Low</v>
      </c>
    </row>
    <row r="706" spans="1:18">
      <c r="A706" t="s">
        <v>954</v>
      </c>
      <c r="B706" s="2">
        <v>46149</v>
      </c>
      <c r="C706" s="3">
        <v>0.168055555555556</v>
      </c>
      <c r="D706" t="s">
        <v>145</v>
      </c>
      <c r="E706">
        <v>62.38</v>
      </c>
      <c r="F706" t="s">
        <v>28</v>
      </c>
      <c r="G706" t="s">
        <v>71</v>
      </c>
      <c r="H706" t="s">
        <v>7</v>
      </c>
      <c r="I706" t="s">
        <v>15</v>
      </c>
      <c r="J706" t="s">
        <v>20</v>
      </c>
      <c r="K706">
        <v>60</v>
      </c>
      <c r="L706" t="s">
        <v>49</v>
      </c>
      <c r="M706">
        <v>0</v>
      </c>
      <c r="N706">
        <f t="shared" si="43"/>
        <v>1</v>
      </c>
      <c r="P706" s="4">
        <f t="shared" ref="P706:P769" si="44">HOUR(C706)</f>
        <v>4</v>
      </c>
      <c r="Q706" s="4" t="str">
        <f t="shared" ref="Q706:Q769" si="45">IF(N706&lt;6,"Late Night",IF(N706&lt;12,"Morning",IF(N706&lt;18,"Afternoon","Evening")))</f>
        <v>Late Night</v>
      </c>
      <c r="R706" s="4" t="str">
        <f t="shared" ref="R706:R769" si="46">IF(E706&lt;1000,"Low",IF(E706&lt;5000,"Medium",IF(E706&lt;15000,"High","Very High")))</f>
        <v>Low</v>
      </c>
    </row>
    <row r="707" spans="1:18">
      <c r="A707" t="s">
        <v>955</v>
      </c>
      <c r="B707" s="2">
        <v>46150</v>
      </c>
      <c r="C707" s="3">
        <v>0.363888888888889</v>
      </c>
      <c r="D707" t="s">
        <v>836</v>
      </c>
      <c r="E707">
        <v>190.56</v>
      </c>
      <c r="F707" t="s">
        <v>29</v>
      </c>
      <c r="G707" t="s">
        <v>66</v>
      </c>
      <c r="H707" t="s">
        <v>5</v>
      </c>
      <c r="I707" t="s">
        <v>15</v>
      </c>
      <c r="J707" t="s">
        <v>22</v>
      </c>
      <c r="K707">
        <v>34</v>
      </c>
      <c r="L707" t="s">
        <v>49</v>
      </c>
      <c r="M707">
        <v>0</v>
      </c>
      <c r="N707">
        <f t="shared" ref="N707:N770" si="47">COUNTIF($A$2:$A$1001,A707)</f>
        <v>1</v>
      </c>
      <c r="P707" s="4">
        <f t="shared" si="44"/>
        <v>8</v>
      </c>
      <c r="Q707" s="4" t="str">
        <f t="shared" si="45"/>
        <v>Late Night</v>
      </c>
      <c r="R707" s="4" t="str">
        <f t="shared" si="46"/>
        <v>Low</v>
      </c>
    </row>
    <row r="708" spans="1:18">
      <c r="A708" t="s">
        <v>956</v>
      </c>
      <c r="B708" s="2">
        <v>46150</v>
      </c>
      <c r="C708" s="3">
        <v>0.134027777777778</v>
      </c>
      <c r="D708" t="s">
        <v>197</v>
      </c>
      <c r="E708">
        <v>130.01</v>
      </c>
      <c r="F708" t="s">
        <v>31</v>
      </c>
      <c r="G708" t="s">
        <v>54</v>
      </c>
      <c r="H708" t="s">
        <v>3</v>
      </c>
      <c r="I708" t="s">
        <v>14</v>
      </c>
      <c r="J708" t="s">
        <v>24</v>
      </c>
      <c r="K708">
        <v>22</v>
      </c>
      <c r="L708" t="s">
        <v>168</v>
      </c>
      <c r="M708">
        <v>1</v>
      </c>
      <c r="N708">
        <f t="shared" si="47"/>
        <v>1</v>
      </c>
      <c r="P708" s="4">
        <f t="shared" si="44"/>
        <v>3</v>
      </c>
      <c r="Q708" s="4" t="str">
        <f t="shared" si="45"/>
        <v>Late Night</v>
      </c>
      <c r="R708" s="4" t="str">
        <f t="shared" si="46"/>
        <v>Low</v>
      </c>
    </row>
    <row r="709" spans="1:18">
      <c r="A709" t="s">
        <v>957</v>
      </c>
      <c r="B709" s="2">
        <v>46150</v>
      </c>
      <c r="C709" s="3">
        <v>0.913194444444444</v>
      </c>
      <c r="D709" t="s">
        <v>255</v>
      </c>
      <c r="E709">
        <v>514.83</v>
      </c>
      <c r="F709" t="s">
        <v>28</v>
      </c>
      <c r="G709" t="s">
        <v>59</v>
      </c>
      <c r="H709" t="s">
        <v>9</v>
      </c>
      <c r="I709" t="s">
        <v>15</v>
      </c>
      <c r="J709" t="s">
        <v>24</v>
      </c>
      <c r="K709">
        <v>62</v>
      </c>
      <c r="L709" t="s">
        <v>49</v>
      </c>
      <c r="M709">
        <v>0</v>
      </c>
      <c r="N709">
        <f t="shared" si="47"/>
        <v>1</v>
      </c>
      <c r="P709" s="4">
        <f t="shared" si="44"/>
        <v>21</v>
      </c>
      <c r="Q709" s="4" t="str">
        <f t="shared" si="45"/>
        <v>Late Night</v>
      </c>
      <c r="R709" s="4" t="str">
        <f t="shared" si="46"/>
        <v>Low</v>
      </c>
    </row>
    <row r="710" spans="1:18">
      <c r="A710" t="s">
        <v>958</v>
      </c>
      <c r="B710" s="2">
        <v>46150</v>
      </c>
      <c r="C710" s="3">
        <v>0.686805555555556</v>
      </c>
      <c r="D710" t="s">
        <v>93</v>
      </c>
      <c r="E710">
        <v>288.08</v>
      </c>
      <c r="F710" t="s">
        <v>28</v>
      </c>
      <c r="G710" t="s">
        <v>59</v>
      </c>
      <c r="H710" t="s">
        <v>5</v>
      </c>
      <c r="I710" t="s">
        <v>15</v>
      </c>
      <c r="J710" t="s">
        <v>20</v>
      </c>
      <c r="K710">
        <v>59</v>
      </c>
      <c r="L710" t="s">
        <v>49</v>
      </c>
      <c r="M710">
        <v>0</v>
      </c>
      <c r="N710">
        <f t="shared" si="47"/>
        <v>1</v>
      </c>
      <c r="P710" s="4">
        <f t="shared" si="44"/>
        <v>16</v>
      </c>
      <c r="Q710" s="4" t="str">
        <f t="shared" si="45"/>
        <v>Late Night</v>
      </c>
      <c r="R710" s="4" t="str">
        <f t="shared" si="46"/>
        <v>Low</v>
      </c>
    </row>
    <row r="711" spans="1:18">
      <c r="A711" t="s">
        <v>959</v>
      </c>
      <c r="B711" s="2">
        <v>46150</v>
      </c>
      <c r="C711" s="3">
        <v>0.367361111111111</v>
      </c>
      <c r="D711" t="s">
        <v>331</v>
      </c>
      <c r="E711">
        <v>150.17</v>
      </c>
      <c r="F711" t="s">
        <v>28</v>
      </c>
      <c r="G711" t="s">
        <v>48</v>
      </c>
      <c r="H711" t="s">
        <v>9</v>
      </c>
      <c r="I711" t="s">
        <v>15</v>
      </c>
      <c r="J711" t="s">
        <v>23</v>
      </c>
      <c r="K711">
        <v>26</v>
      </c>
      <c r="L711" t="s">
        <v>49</v>
      </c>
      <c r="M711">
        <v>0</v>
      </c>
      <c r="N711">
        <f t="shared" si="47"/>
        <v>1</v>
      </c>
      <c r="P711" s="4">
        <f t="shared" si="44"/>
        <v>8</v>
      </c>
      <c r="Q711" s="4" t="str">
        <f t="shared" si="45"/>
        <v>Late Night</v>
      </c>
      <c r="R711" s="4" t="str">
        <f t="shared" si="46"/>
        <v>Low</v>
      </c>
    </row>
    <row r="712" spans="1:18">
      <c r="A712" t="s">
        <v>960</v>
      </c>
      <c r="B712" s="2">
        <v>46150</v>
      </c>
      <c r="C712" s="3">
        <v>0.00208333333333333</v>
      </c>
      <c r="D712" t="s">
        <v>361</v>
      </c>
      <c r="E712">
        <v>50.31</v>
      </c>
      <c r="F712" t="s">
        <v>29</v>
      </c>
      <c r="G712" t="s">
        <v>59</v>
      </c>
      <c r="H712" t="s">
        <v>8</v>
      </c>
      <c r="I712" t="s">
        <v>16</v>
      </c>
      <c r="J712" t="s">
        <v>20</v>
      </c>
      <c r="K712">
        <v>50</v>
      </c>
      <c r="L712" t="s">
        <v>49</v>
      </c>
      <c r="M712">
        <v>1</v>
      </c>
      <c r="N712">
        <f t="shared" si="47"/>
        <v>1</v>
      </c>
      <c r="P712" s="4">
        <f t="shared" si="44"/>
        <v>0</v>
      </c>
      <c r="Q712" s="4" t="str">
        <f t="shared" si="45"/>
        <v>Late Night</v>
      </c>
      <c r="R712" s="4" t="str">
        <f t="shared" si="46"/>
        <v>Low</v>
      </c>
    </row>
    <row r="713" spans="1:18">
      <c r="A713" t="s">
        <v>961</v>
      </c>
      <c r="B713" s="2">
        <v>46151</v>
      </c>
      <c r="C713" s="3">
        <v>0.845138888888889</v>
      </c>
      <c r="D713" t="s">
        <v>494</v>
      </c>
      <c r="E713">
        <v>36.71</v>
      </c>
      <c r="F713" t="s">
        <v>29</v>
      </c>
      <c r="G713" t="s">
        <v>59</v>
      </c>
      <c r="H713" t="s">
        <v>4</v>
      </c>
      <c r="I713" t="s">
        <v>15</v>
      </c>
      <c r="J713" t="s">
        <v>23</v>
      </c>
      <c r="K713">
        <v>53</v>
      </c>
      <c r="L713" t="s">
        <v>49</v>
      </c>
      <c r="M713">
        <v>0</v>
      </c>
      <c r="N713">
        <f t="shared" si="47"/>
        <v>1</v>
      </c>
      <c r="P713" s="4">
        <f t="shared" si="44"/>
        <v>20</v>
      </c>
      <c r="Q713" s="4" t="str">
        <f t="shared" si="45"/>
        <v>Late Night</v>
      </c>
      <c r="R713" s="4" t="str">
        <f t="shared" si="46"/>
        <v>Low</v>
      </c>
    </row>
    <row r="714" spans="1:18">
      <c r="A714" t="s">
        <v>962</v>
      </c>
      <c r="B714" s="2">
        <v>46151</v>
      </c>
      <c r="C714" s="3">
        <v>0.816666666666667</v>
      </c>
      <c r="D714" t="s">
        <v>905</v>
      </c>
      <c r="E714">
        <v>247.24</v>
      </c>
      <c r="F714" t="s">
        <v>30</v>
      </c>
      <c r="G714" t="s">
        <v>48</v>
      </c>
      <c r="H714" t="s">
        <v>10</v>
      </c>
      <c r="I714" t="s">
        <v>15</v>
      </c>
      <c r="J714" t="s">
        <v>22</v>
      </c>
      <c r="K714">
        <v>53</v>
      </c>
      <c r="L714" t="s">
        <v>49</v>
      </c>
      <c r="M714">
        <v>0</v>
      </c>
      <c r="N714">
        <f t="shared" si="47"/>
        <v>1</v>
      </c>
      <c r="P714" s="4">
        <f t="shared" si="44"/>
        <v>19</v>
      </c>
      <c r="Q714" s="4" t="str">
        <f t="shared" si="45"/>
        <v>Late Night</v>
      </c>
      <c r="R714" s="4" t="str">
        <f t="shared" si="46"/>
        <v>Low</v>
      </c>
    </row>
    <row r="715" spans="1:18">
      <c r="A715" t="s">
        <v>963</v>
      </c>
      <c r="B715" s="2">
        <v>46151</v>
      </c>
      <c r="C715" s="3">
        <v>0.516666666666667</v>
      </c>
      <c r="D715" t="s">
        <v>121</v>
      </c>
      <c r="E715">
        <v>88.48</v>
      </c>
      <c r="F715" t="s">
        <v>31</v>
      </c>
      <c r="G715" t="s">
        <v>66</v>
      </c>
      <c r="H715" t="s">
        <v>7</v>
      </c>
      <c r="I715" t="s">
        <v>15</v>
      </c>
      <c r="J715" t="s">
        <v>23</v>
      </c>
      <c r="K715">
        <v>35</v>
      </c>
      <c r="L715" t="s">
        <v>49</v>
      </c>
      <c r="M715">
        <v>0</v>
      </c>
      <c r="N715">
        <f t="shared" si="47"/>
        <v>1</v>
      </c>
      <c r="P715" s="4">
        <f t="shared" si="44"/>
        <v>12</v>
      </c>
      <c r="Q715" s="4" t="str">
        <f t="shared" si="45"/>
        <v>Late Night</v>
      </c>
      <c r="R715" s="4" t="str">
        <f t="shared" si="46"/>
        <v>Low</v>
      </c>
    </row>
    <row r="716" spans="1:18">
      <c r="A716" t="s">
        <v>964</v>
      </c>
      <c r="B716" s="2">
        <v>46151</v>
      </c>
      <c r="C716" s="3">
        <v>0.657638888888889</v>
      </c>
      <c r="D716" t="s">
        <v>53</v>
      </c>
      <c r="E716">
        <v>352.88</v>
      </c>
      <c r="F716" t="s">
        <v>30</v>
      </c>
      <c r="G716" t="s">
        <v>59</v>
      </c>
      <c r="H716" t="s">
        <v>7</v>
      </c>
      <c r="I716" t="s">
        <v>14</v>
      </c>
      <c r="J716" t="s">
        <v>22</v>
      </c>
      <c r="K716">
        <v>26</v>
      </c>
      <c r="L716" t="s">
        <v>49</v>
      </c>
      <c r="M716">
        <v>0</v>
      </c>
      <c r="N716">
        <f t="shared" si="47"/>
        <v>1</v>
      </c>
      <c r="P716" s="4">
        <f t="shared" si="44"/>
        <v>15</v>
      </c>
      <c r="Q716" s="4" t="str">
        <f t="shared" si="45"/>
        <v>Late Night</v>
      </c>
      <c r="R716" s="4" t="str">
        <f t="shared" si="46"/>
        <v>Low</v>
      </c>
    </row>
    <row r="717" spans="1:18">
      <c r="A717" t="s">
        <v>965</v>
      </c>
      <c r="B717" s="2">
        <v>46151</v>
      </c>
      <c r="C717" s="3">
        <v>0.5</v>
      </c>
      <c r="D717" t="s">
        <v>137</v>
      </c>
      <c r="E717">
        <v>35.05</v>
      </c>
      <c r="F717" t="s">
        <v>28</v>
      </c>
      <c r="G717" t="s">
        <v>71</v>
      </c>
      <c r="H717" t="s">
        <v>6</v>
      </c>
      <c r="I717" t="s">
        <v>16</v>
      </c>
      <c r="J717" t="s">
        <v>22</v>
      </c>
      <c r="K717">
        <v>46</v>
      </c>
      <c r="L717" t="s">
        <v>49</v>
      </c>
      <c r="M717">
        <v>0</v>
      </c>
      <c r="N717">
        <f t="shared" si="47"/>
        <v>1</v>
      </c>
      <c r="P717" s="4">
        <f t="shared" si="44"/>
        <v>12</v>
      </c>
      <c r="Q717" s="4" t="str">
        <f t="shared" si="45"/>
        <v>Late Night</v>
      </c>
      <c r="R717" s="4" t="str">
        <f t="shared" si="46"/>
        <v>Low</v>
      </c>
    </row>
    <row r="718" spans="1:18">
      <c r="A718" t="s">
        <v>966</v>
      </c>
      <c r="B718" s="2">
        <v>46152</v>
      </c>
      <c r="C718" s="3">
        <v>0.577777777777778</v>
      </c>
      <c r="D718" t="s">
        <v>219</v>
      </c>
      <c r="E718">
        <v>891.54</v>
      </c>
      <c r="F718" t="s">
        <v>31</v>
      </c>
      <c r="G718" t="s">
        <v>48</v>
      </c>
      <c r="H718" t="s">
        <v>3</v>
      </c>
      <c r="I718" t="s">
        <v>15</v>
      </c>
      <c r="J718" t="s">
        <v>19</v>
      </c>
      <c r="K718">
        <v>31</v>
      </c>
      <c r="L718" t="s">
        <v>49</v>
      </c>
      <c r="M718">
        <v>0</v>
      </c>
      <c r="N718">
        <f t="shared" si="47"/>
        <v>1</v>
      </c>
      <c r="P718" s="4">
        <f t="shared" si="44"/>
        <v>13</v>
      </c>
      <c r="Q718" s="4" t="str">
        <f t="shared" si="45"/>
        <v>Late Night</v>
      </c>
      <c r="R718" s="4" t="str">
        <f t="shared" si="46"/>
        <v>Low</v>
      </c>
    </row>
    <row r="719" spans="1:18">
      <c r="A719" t="s">
        <v>967</v>
      </c>
      <c r="B719" s="2">
        <v>46152</v>
      </c>
      <c r="C719" s="3">
        <v>0.114583333333333</v>
      </c>
      <c r="D719" t="s">
        <v>669</v>
      </c>
      <c r="E719">
        <v>352.08</v>
      </c>
      <c r="F719" t="s">
        <v>31</v>
      </c>
      <c r="G719" t="s">
        <v>48</v>
      </c>
      <c r="H719" t="s">
        <v>7</v>
      </c>
      <c r="I719" t="s">
        <v>14</v>
      </c>
      <c r="J719" t="s">
        <v>21</v>
      </c>
      <c r="K719">
        <v>42</v>
      </c>
      <c r="L719" t="s">
        <v>168</v>
      </c>
      <c r="M719">
        <v>1</v>
      </c>
      <c r="N719">
        <f t="shared" si="47"/>
        <v>1</v>
      </c>
      <c r="P719" s="4">
        <f t="shared" si="44"/>
        <v>2</v>
      </c>
      <c r="Q719" s="4" t="str">
        <f t="shared" si="45"/>
        <v>Late Night</v>
      </c>
      <c r="R719" s="4" t="str">
        <f t="shared" si="46"/>
        <v>Low</v>
      </c>
    </row>
    <row r="720" spans="1:18">
      <c r="A720" t="s">
        <v>968</v>
      </c>
      <c r="B720" s="2">
        <v>46152</v>
      </c>
      <c r="C720" s="3">
        <v>0.218055555555556</v>
      </c>
      <c r="D720" t="s">
        <v>437</v>
      </c>
      <c r="E720">
        <v>200.17</v>
      </c>
      <c r="F720" t="s">
        <v>31</v>
      </c>
      <c r="G720" t="s">
        <v>59</v>
      </c>
      <c r="H720" t="s">
        <v>10</v>
      </c>
      <c r="I720" t="s">
        <v>14</v>
      </c>
      <c r="J720" t="s">
        <v>22</v>
      </c>
      <c r="K720">
        <v>32</v>
      </c>
      <c r="L720" t="s">
        <v>49</v>
      </c>
      <c r="M720">
        <v>0</v>
      </c>
      <c r="N720">
        <f t="shared" si="47"/>
        <v>1</v>
      </c>
      <c r="P720" s="4">
        <f t="shared" si="44"/>
        <v>5</v>
      </c>
      <c r="Q720" s="4" t="str">
        <f t="shared" si="45"/>
        <v>Late Night</v>
      </c>
      <c r="R720" s="4" t="str">
        <f t="shared" si="46"/>
        <v>Low</v>
      </c>
    </row>
    <row r="721" spans="1:18">
      <c r="A721" t="s">
        <v>969</v>
      </c>
      <c r="B721" s="2">
        <v>46152</v>
      </c>
      <c r="C721" s="3">
        <v>0.713888888888889</v>
      </c>
      <c r="D721" t="s">
        <v>182</v>
      </c>
      <c r="E721">
        <v>975.61</v>
      </c>
      <c r="F721" t="s">
        <v>29</v>
      </c>
      <c r="G721" t="s">
        <v>48</v>
      </c>
      <c r="H721" t="s">
        <v>4</v>
      </c>
      <c r="I721" t="s">
        <v>15</v>
      </c>
      <c r="J721" t="s">
        <v>23</v>
      </c>
      <c r="K721">
        <v>23</v>
      </c>
      <c r="L721" t="s">
        <v>49</v>
      </c>
      <c r="M721">
        <v>0</v>
      </c>
      <c r="N721">
        <f t="shared" si="47"/>
        <v>1</v>
      </c>
      <c r="P721" s="4">
        <f t="shared" si="44"/>
        <v>17</v>
      </c>
      <c r="Q721" s="4" t="str">
        <f t="shared" si="45"/>
        <v>Late Night</v>
      </c>
      <c r="R721" s="4" t="str">
        <f t="shared" si="46"/>
        <v>Low</v>
      </c>
    </row>
    <row r="722" spans="1:18">
      <c r="A722" t="s">
        <v>970</v>
      </c>
      <c r="B722" s="2">
        <v>46152</v>
      </c>
      <c r="C722" s="3">
        <v>0.759722222222222</v>
      </c>
      <c r="D722" t="s">
        <v>116</v>
      </c>
      <c r="E722">
        <v>467.98</v>
      </c>
      <c r="F722" t="s">
        <v>29</v>
      </c>
      <c r="G722" t="s">
        <v>59</v>
      </c>
      <c r="H722" t="s">
        <v>3</v>
      </c>
      <c r="I722" t="s">
        <v>15</v>
      </c>
      <c r="J722" t="s">
        <v>21</v>
      </c>
      <c r="K722">
        <v>59</v>
      </c>
      <c r="L722" t="s">
        <v>85</v>
      </c>
      <c r="M722">
        <v>1</v>
      </c>
      <c r="N722">
        <f t="shared" si="47"/>
        <v>1</v>
      </c>
      <c r="P722" s="4">
        <f t="shared" si="44"/>
        <v>18</v>
      </c>
      <c r="Q722" s="4" t="str">
        <f t="shared" si="45"/>
        <v>Late Night</v>
      </c>
      <c r="R722" s="4" t="str">
        <f t="shared" si="46"/>
        <v>Low</v>
      </c>
    </row>
    <row r="723" spans="1:18">
      <c r="A723" t="s">
        <v>971</v>
      </c>
      <c r="B723" s="2">
        <v>46152</v>
      </c>
      <c r="C723" s="3">
        <v>0.2</v>
      </c>
      <c r="D723" t="s">
        <v>105</v>
      </c>
      <c r="E723">
        <v>112.73</v>
      </c>
      <c r="F723" t="s">
        <v>29</v>
      </c>
      <c r="G723" t="s">
        <v>66</v>
      </c>
      <c r="H723" t="s">
        <v>8</v>
      </c>
      <c r="I723" t="s">
        <v>15</v>
      </c>
      <c r="J723" t="s">
        <v>21</v>
      </c>
      <c r="K723">
        <v>46</v>
      </c>
      <c r="L723" t="s">
        <v>49</v>
      </c>
      <c r="M723">
        <v>0</v>
      </c>
      <c r="N723">
        <f t="shared" si="47"/>
        <v>1</v>
      </c>
      <c r="P723" s="4">
        <f t="shared" si="44"/>
        <v>4</v>
      </c>
      <c r="Q723" s="4" t="str">
        <f t="shared" si="45"/>
        <v>Late Night</v>
      </c>
      <c r="R723" s="4" t="str">
        <f t="shared" si="46"/>
        <v>Low</v>
      </c>
    </row>
    <row r="724" spans="1:18">
      <c r="A724" t="s">
        <v>972</v>
      </c>
      <c r="B724" s="2">
        <v>46153</v>
      </c>
      <c r="C724" s="3">
        <v>0.622222222222222</v>
      </c>
      <c r="D724" t="s">
        <v>605</v>
      </c>
      <c r="E724">
        <v>195.89</v>
      </c>
      <c r="F724" t="s">
        <v>28</v>
      </c>
      <c r="G724" t="s">
        <v>48</v>
      </c>
      <c r="H724" t="s">
        <v>5</v>
      </c>
      <c r="I724" t="s">
        <v>16</v>
      </c>
      <c r="J724" t="s">
        <v>22</v>
      </c>
      <c r="K724">
        <v>32</v>
      </c>
      <c r="L724" t="s">
        <v>49</v>
      </c>
      <c r="M724">
        <v>0</v>
      </c>
      <c r="N724">
        <f t="shared" si="47"/>
        <v>1</v>
      </c>
      <c r="P724" s="4">
        <f t="shared" si="44"/>
        <v>14</v>
      </c>
      <c r="Q724" s="4" t="str">
        <f t="shared" si="45"/>
        <v>Late Night</v>
      </c>
      <c r="R724" s="4" t="str">
        <f t="shared" si="46"/>
        <v>Low</v>
      </c>
    </row>
    <row r="725" spans="1:18">
      <c r="A725" t="s">
        <v>973</v>
      </c>
      <c r="B725" s="2">
        <v>46153</v>
      </c>
      <c r="C725" s="3">
        <v>0.0576388888888889</v>
      </c>
      <c r="D725" t="s">
        <v>636</v>
      </c>
      <c r="E725">
        <v>25.42</v>
      </c>
      <c r="F725" t="s">
        <v>28</v>
      </c>
      <c r="G725" t="s">
        <v>54</v>
      </c>
      <c r="H725" t="s">
        <v>8</v>
      </c>
      <c r="I725" t="s">
        <v>15</v>
      </c>
      <c r="J725" t="s">
        <v>20</v>
      </c>
      <c r="K725">
        <v>46</v>
      </c>
      <c r="L725" t="s">
        <v>49</v>
      </c>
      <c r="M725">
        <v>0</v>
      </c>
      <c r="N725">
        <f t="shared" si="47"/>
        <v>1</v>
      </c>
      <c r="P725" s="4">
        <f t="shared" si="44"/>
        <v>1</v>
      </c>
      <c r="Q725" s="4" t="str">
        <f t="shared" si="45"/>
        <v>Late Night</v>
      </c>
      <c r="R725" s="4" t="str">
        <f t="shared" si="46"/>
        <v>Low</v>
      </c>
    </row>
    <row r="726" spans="1:18">
      <c r="A726" t="s">
        <v>974</v>
      </c>
      <c r="B726" s="2">
        <v>46153</v>
      </c>
      <c r="C726" s="3">
        <v>0.377083333333333</v>
      </c>
      <c r="D726" t="s">
        <v>137</v>
      </c>
      <c r="E726">
        <v>525.42</v>
      </c>
      <c r="F726" t="s">
        <v>31</v>
      </c>
      <c r="G726" t="s">
        <v>54</v>
      </c>
      <c r="H726" t="s">
        <v>10</v>
      </c>
      <c r="I726" t="s">
        <v>14</v>
      </c>
      <c r="J726" t="s">
        <v>20</v>
      </c>
      <c r="K726">
        <v>21</v>
      </c>
      <c r="L726" t="s">
        <v>49</v>
      </c>
      <c r="M726">
        <v>0</v>
      </c>
      <c r="N726">
        <f t="shared" si="47"/>
        <v>1</v>
      </c>
      <c r="P726" s="4">
        <f t="shared" si="44"/>
        <v>9</v>
      </c>
      <c r="Q726" s="4" t="str">
        <f t="shared" si="45"/>
        <v>Late Night</v>
      </c>
      <c r="R726" s="4" t="str">
        <f t="shared" si="46"/>
        <v>Low</v>
      </c>
    </row>
    <row r="727" spans="1:18">
      <c r="A727" t="s">
        <v>975</v>
      </c>
      <c r="B727" s="2">
        <v>46153</v>
      </c>
      <c r="C727" s="3">
        <v>0.965972222222222</v>
      </c>
      <c r="D727" t="s">
        <v>976</v>
      </c>
      <c r="E727">
        <v>134.83</v>
      </c>
      <c r="F727" t="s">
        <v>31</v>
      </c>
      <c r="G727" t="s">
        <v>54</v>
      </c>
      <c r="H727" t="s">
        <v>10</v>
      </c>
      <c r="I727" t="s">
        <v>15</v>
      </c>
      <c r="J727" t="s">
        <v>24</v>
      </c>
      <c r="K727">
        <v>35</v>
      </c>
      <c r="L727" t="s">
        <v>49</v>
      </c>
      <c r="M727">
        <v>0</v>
      </c>
      <c r="N727">
        <f t="shared" si="47"/>
        <v>1</v>
      </c>
      <c r="P727" s="4">
        <f t="shared" si="44"/>
        <v>23</v>
      </c>
      <c r="Q727" s="4" t="str">
        <f t="shared" si="45"/>
        <v>Late Night</v>
      </c>
      <c r="R727" s="4" t="str">
        <f t="shared" si="46"/>
        <v>Low</v>
      </c>
    </row>
    <row r="728" spans="1:18">
      <c r="A728" t="s">
        <v>977</v>
      </c>
      <c r="B728" s="2">
        <v>46153</v>
      </c>
      <c r="C728" s="3">
        <v>0.748611111111111</v>
      </c>
      <c r="D728" t="s">
        <v>214</v>
      </c>
      <c r="E728">
        <v>25.1</v>
      </c>
      <c r="F728" t="s">
        <v>28</v>
      </c>
      <c r="G728" t="s">
        <v>71</v>
      </c>
      <c r="H728" t="s">
        <v>7</v>
      </c>
      <c r="I728" t="s">
        <v>14</v>
      </c>
      <c r="J728" t="s">
        <v>21</v>
      </c>
      <c r="K728">
        <v>61</v>
      </c>
      <c r="L728" t="s">
        <v>49</v>
      </c>
      <c r="M728">
        <v>0</v>
      </c>
      <c r="N728">
        <f t="shared" si="47"/>
        <v>1</v>
      </c>
      <c r="P728" s="4">
        <f t="shared" si="44"/>
        <v>17</v>
      </c>
      <c r="Q728" s="4" t="str">
        <f t="shared" si="45"/>
        <v>Late Night</v>
      </c>
      <c r="R728" s="4" t="str">
        <f t="shared" si="46"/>
        <v>Low</v>
      </c>
    </row>
    <row r="729" spans="1:18">
      <c r="A729" t="s">
        <v>978</v>
      </c>
      <c r="B729" s="2">
        <v>46153</v>
      </c>
      <c r="C729" s="3">
        <v>0.539583333333333</v>
      </c>
      <c r="D729" t="s">
        <v>95</v>
      </c>
      <c r="E729">
        <v>55.6</v>
      </c>
      <c r="F729" t="s">
        <v>31</v>
      </c>
      <c r="G729" t="s">
        <v>66</v>
      </c>
      <c r="H729" t="s">
        <v>3</v>
      </c>
      <c r="I729" t="s">
        <v>15</v>
      </c>
      <c r="J729" t="s">
        <v>22</v>
      </c>
      <c r="K729">
        <v>56</v>
      </c>
      <c r="L729" t="s">
        <v>49</v>
      </c>
      <c r="M729">
        <v>0</v>
      </c>
      <c r="N729">
        <f t="shared" si="47"/>
        <v>1</v>
      </c>
      <c r="P729" s="4">
        <f t="shared" si="44"/>
        <v>12</v>
      </c>
      <c r="Q729" s="4" t="str">
        <f t="shared" si="45"/>
        <v>Late Night</v>
      </c>
      <c r="R729" s="4" t="str">
        <f t="shared" si="46"/>
        <v>Low</v>
      </c>
    </row>
    <row r="730" spans="1:18">
      <c r="A730" t="s">
        <v>979</v>
      </c>
      <c r="B730" s="2">
        <v>46154</v>
      </c>
      <c r="C730" s="3">
        <v>0.191666666666667</v>
      </c>
      <c r="D730" t="s">
        <v>605</v>
      </c>
      <c r="E730">
        <v>433.08</v>
      </c>
      <c r="F730" t="s">
        <v>31</v>
      </c>
      <c r="G730" t="s">
        <v>59</v>
      </c>
      <c r="H730" t="s">
        <v>4</v>
      </c>
      <c r="I730" t="s">
        <v>15</v>
      </c>
      <c r="J730" t="s">
        <v>19</v>
      </c>
      <c r="K730">
        <v>33</v>
      </c>
      <c r="L730" t="s">
        <v>49</v>
      </c>
      <c r="M730">
        <v>0</v>
      </c>
      <c r="N730">
        <f t="shared" si="47"/>
        <v>1</v>
      </c>
      <c r="P730" s="4">
        <f t="shared" si="44"/>
        <v>4</v>
      </c>
      <c r="Q730" s="4" t="str">
        <f t="shared" si="45"/>
        <v>Late Night</v>
      </c>
      <c r="R730" s="4" t="str">
        <f t="shared" si="46"/>
        <v>Low</v>
      </c>
    </row>
    <row r="731" spans="1:18">
      <c r="A731" t="s">
        <v>980</v>
      </c>
      <c r="B731" s="2">
        <v>46154</v>
      </c>
      <c r="C731" s="3">
        <v>0.941666666666667</v>
      </c>
      <c r="D731" t="s">
        <v>477</v>
      </c>
      <c r="E731">
        <v>910.33</v>
      </c>
      <c r="F731" t="s">
        <v>29</v>
      </c>
      <c r="G731" t="s">
        <v>59</v>
      </c>
      <c r="H731" t="s">
        <v>8</v>
      </c>
      <c r="I731" t="s">
        <v>14</v>
      </c>
      <c r="J731" t="s">
        <v>20</v>
      </c>
      <c r="K731">
        <v>28</v>
      </c>
      <c r="L731" t="s">
        <v>159</v>
      </c>
      <c r="M731">
        <v>0</v>
      </c>
      <c r="N731">
        <f t="shared" si="47"/>
        <v>1</v>
      </c>
      <c r="P731" s="4">
        <f t="shared" si="44"/>
        <v>22</v>
      </c>
      <c r="Q731" s="4" t="str">
        <f t="shared" si="45"/>
        <v>Late Night</v>
      </c>
      <c r="R731" s="4" t="str">
        <f t="shared" si="46"/>
        <v>Low</v>
      </c>
    </row>
    <row r="732" spans="1:18">
      <c r="A732" t="s">
        <v>981</v>
      </c>
      <c r="B732" s="2">
        <v>46154</v>
      </c>
      <c r="C732" s="3">
        <v>0.9875</v>
      </c>
      <c r="D732" t="s">
        <v>80</v>
      </c>
      <c r="E732">
        <v>185.01</v>
      </c>
      <c r="F732" t="s">
        <v>29</v>
      </c>
      <c r="G732" t="s">
        <v>54</v>
      </c>
      <c r="H732" t="s">
        <v>6</v>
      </c>
      <c r="I732" t="s">
        <v>14</v>
      </c>
      <c r="J732" t="s">
        <v>19</v>
      </c>
      <c r="K732">
        <v>31</v>
      </c>
      <c r="L732" t="s">
        <v>49</v>
      </c>
      <c r="M732">
        <v>0</v>
      </c>
      <c r="N732">
        <f t="shared" si="47"/>
        <v>1</v>
      </c>
      <c r="P732" s="4">
        <f t="shared" si="44"/>
        <v>23</v>
      </c>
      <c r="Q732" s="4" t="str">
        <f t="shared" si="45"/>
        <v>Late Night</v>
      </c>
      <c r="R732" s="4" t="str">
        <f t="shared" si="46"/>
        <v>Low</v>
      </c>
    </row>
    <row r="733" spans="1:18">
      <c r="A733" t="s">
        <v>982</v>
      </c>
      <c r="B733" s="2">
        <v>46154</v>
      </c>
      <c r="C733" s="3">
        <v>0.0409722222222222</v>
      </c>
      <c r="D733" t="s">
        <v>264</v>
      </c>
      <c r="E733">
        <v>67.89</v>
      </c>
      <c r="F733" t="s">
        <v>32</v>
      </c>
      <c r="G733" t="s">
        <v>71</v>
      </c>
      <c r="H733" t="s">
        <v>8</v>
      </c>
      <c r="I733" t="s">
        <v>14</v>
      </c>
      <c r="J733" t="s">
        <v>22</v>
      </c>
      <c r="K733">
        <v>20</v>
      </c>
      <c r="L733" t="s">
        <v>168</v>
      </c>
      <c r="M733">
        <v>1</v>
      </c>
      <c r="N733">
        <f t="shared" si="47"/>
        <v>1</v>
      </c>
      <c r="P733" s="4">
        <f t="shared" si="44"/>
        <v>0</v>
      </c>
      <c r="Q733" s="4" t="str">
        <f t="shared" si="45"/>
        <v>Late Night</v>
      </c>
      <c r="R733" s="4" t="str">
        <f t="shared" si="46"/>
        <v>Low</v>
      </c>
    </row>
    <row r="734" spans="1:18">
      <c r="A734" t="s">
        <v>983</v>
      </c>
      <c r="B734" s="2">
        <v>46154</v>
      </c>
      <c r="C734" s="3">
        <v>0.878472222222222</v>
      </c>
      <c r="D734" t="s">
        <v>151</v>
      </c>
      <c r="E734">
        <v>43.78</v>
      </c>
      <c r="F734" t="s">
        <v>32</v>
      </c>
      <c r="G734" t="s">
        <v>59</v>
      </c>
      <c r="H734" t="s">
        <v>9</v>
      </c>
      <c r="I734" t="s">
        <v>15</v>
      </c>
      <c r="J734" t="s">
        <v>22</v>
      </c>
      <c r="K734">
        <v>59</v>
      </c>
      <c r="L734" t="s">
        <v>49</v>
      </c>
      <c r="M734">
        <v>0</v>
      </c>
      <c r="N734">
        <f t="shared" si="47"/>
        <v>1</v>
      </c>
      <c r="P734" s="4">
        <f t="shared" si="44"/>
        <v>21</v>
      </c>
      <c r="Q734" s="4" t="str">
        <f t="shared" si="45"/>
        <v>Late Night</v>
      </c>
      <c r="R734" s="4" t="str">
        <f t="shared" si="46"/>
        <v>Low</v>
      </c>
    </row>
    <row r="735" spans="1:18">
      <c r="A735" t="s">
        <v>984</v>
      </c>
      <c r="B735" s="2">
        <v>46155</v>
      </c>
      <c r="C735" s="3">
        <v>0.0263888888888889</v>
      </c>
      <c r="D735" t="s">
        <v>232</v>
      </c>
      <c r="E735">
        <v>745.92</v>
      </c>
      <c r="F735" t="s">
        <v>29</v>
      </c>
      <c r="G735" t="s">
        <v>59</v>
      </c>
      <c r="H735" t="s">
        <v>9</v>
      </c>
      <c r="I735" t="s">
        <v>15</v>
      </c>
      <c r="J735" t="s">
        <v>21</v>
      </c>
      <c r="K735">
        <v>55</v>
      </c>
      <c r="L735" t="s">
        <v>85</v>
      </c>
      <c r="M735">
        <v>1</v>
      </c>
      <c r="N735">
        <f t="shared" si="47"/>
        <v>1</v>
      </c>
      <c r="P735" s="4">
        <f t="shared" si="44"/>
        <v>0</v>
      </c>
      <c r="Q735" s="4" t="str">
        <f t="shared" si="45"/>
        <v>Late Night</v>
      </c>
      <c r="R735" s="4" t="str">
        <f t="shared" si="46"/>
        <v>Low</v>
      </c>
    </row>
    <row r="736" spans="1:18">
      <c r="A736" t="s">
        <v>985</v>
      </c>
      <c r="B736" s="2">
        <v>46155</v>
      </c>
      <c r="C736" s="3">
        <v>0.746527777777778</v>
      </c>
      <c r="D736" t="s">
        <v>95</v>
      </c>
      <c r="E736">
        <v>284.14</v>
      </c>
      <c r="F736" t="s">
        <v>28</v>
      </c>
      <c r="G736" t="s">
        <v>66</v>
      </c>
      <c r="H736" t="s">
        <v>4</v>
      </c>
      <c r="I736" t="s">
        <v>15</v>
      </c>
      <c r="J736" t="s">
        <v>19</v>
      </c>
      <c r="K736">
        <v>62</v>
      </c>
      <c r="L736" t="s">
        <v>49</v>
      </c>
      <c r="M736">
        <v>0</v>
      </c>
      <c r="N736">
        <f t="shared" si="47"/>
        <v>1</v>
      </c>
      <c r="P736" s="4">
        <f t="shared" si="44"/>
        <v>17</v>
      </c>
      <c r="Q736" s="4" t="str">
        <f t="shared" si="45"/>
        <v>Late Night</v>
      </c>
      <c r="R736" s="4" t="str">
        <f t="shared" si="46"/>
        <v>Low</v>
      </c>
    </row>
    <row r="737" spans="1:18">
      <c r="A737" t="s">
        <v>986</v>
      </c>
      <c r="B737" s="2">
        <v>46155</v>
      </c>
      <c r="C737" s="3">
        <v>0.614583333333333</v>
      </c>
      <c r="D737" t="s">
        <v>167</v>
      </c>
      <c r="E737">
        <v>130.3</v>
      </c>
      <c r="F737" t="s">
        <v>29</v>
      </c>
      <c r="G737" t="s">
        <v>48</v>
      </c>
      <c r="H737" t="s">
        <v>4</v>
      </c>
      <c r="I737" t="s">
        <v>15</v>
      </c>
      <c r="J737" t="s">
        <v>24</v>
      </c>
      <c r="K737">
        <v>59</v>
      </c>
      <c r="L737" t="s">
        <v>49</v>
      </c>
      <c r="M737">
        <v>0</v>
      </c>
      <c r="N737">
        <f t="shared" si="47"/>
        <v>1</v>
      </c>
      <c r="P737" s="4">
        <f t="shared" si="44"/>
        <v>14</v>
      </c>
      <c r="Q737" s="4" t="str">
        <f t="shared" si="45"/>
        <v>Late Night</v>
      </c>
      <c r="R737" s="4" t="str">
        <f t="shared" si="46"/>
        <v>Low</v>
      </c>
    </row>
    <row r="738" spans="1:18">
      <c r="A738" t="s">
        <v>987</v>
      </c>
      <c r="B738" s="2">
        <v>46155</v>
      </c>
      <c r="C738" s="3">
        <v>0.682638888888889</v>
      </c>
      <c r="D738" t="s">
        <v>584</v>
      </c>
      <c r="E738">
        <v>102.69</v>
      </c>
      <c r="F738" t="s">
        <v>29</v>
      </c>
      <c r="G738" t="s">
        <v>66</v>
      </c>
      <c r="H738" t="s">
        <v>9</v>
      </c>
      <c r="I738" t="s">
        <v>15</v>
      </c>
      <c r="J738" t="s">
        <v>21</v>
      </c>
      <c r="K738">
        <v>35</v>
      </c>
      <c r="L738" t="s">
        <v>49</v>
      </c>
      <c r="M738">
        <v>0</v>
      </c>
      <c r="N738">
        <f t="shared" si="47"/>
        <v>1</v>
      </c>
      <c r="P738" s="4">
        <f t="shared" si="44"/>
        <v>16</v>
      </c>
      <c r="Q738" s="4" t="str">
        <f t="shared" si="45"/>
        <v>Late Night</v>
      </c>
      <c r="R738" s="4" t="str">
        <f t="shared" si="46"/>
        <v>Low</v>
      </c>
    </row>
    <row r="739" spans="1:18">
      <c r="A739" t="s">
        <v>988</v>
      </c>
      <c r="B739" s="2">
        <v>46155</v>
      </c>
      <c r="C739" s="3">
        <v>0.423611111111111</v>
      </c>
      <c r="D739" t="s">
        <v>342</v>
      </c>
      <c r="E739">
        <v>354.9</v>
      </c>
      <c r="F739" t="s">
        <v>31</v>
      </c>
      <c r="G739" t="s">
        <v>48</v>
      </c>
      <c r="H739" t="s">
        <v>6</v>
      </c>
      <c r="I739" t="s">
        <v>15</v>
      </c>
      <c r="J739" t="s">
        <v>18</v>
      </c>
      <c r="K739">
        <v>37</v>
      </c>
      <c r="L739" t="s">
        <v>49</v>
      </c>
      <c r="M739">
        <v>0</v>
      </c>
      <c r="N739">
        <f t="shared" si="47"/>
        <v>1</v>
      </c>
      <c r="P739" s="4">
        <f t="shared" si="44"/>
        <v>10</v>
      </c>
      <c r="Q739" s="4" t="str">
        <f t="shared" si="45"/>
        <v>Late Night</v>
      </c>
      <c r="R739" s="4" t="str">
        <f t="shared" si="46"/>
        <v>Low</v>
      </c>
    </row>
    <row r="740" spans="1:18">
      <c r="A740" t="s">
        <v>989</v>
      </c>
      <c r="B740" s="2">
        <v>46155</v>
      </c>
      <c r="C740" s="3">
        <v>0.841666666666667</v>
      </c>
      <c r="D740" t="s">
        <v>162</v>
      </c>
      <c r="E740">
        <v>345.27</v>
      </c>
      <c r="F740" t="s">
        <v>28</v>
      </c>
      <c r="G740" t="s">
        <v>54</v>
      </c>
      <c r="H740" t="s">
        <v>3</v>
      </c>
      <c r="I740" t="s">
        <v>15</v>
      </c>
      <c r="J740" t="s">
        <v>19</v>
      </c>
      <c r="K740">
        <v>65</v>
      </c>
      <c r="L740" t="s">
        <v>49</v>
      </c>
      <c r="M740">
        <v>0</v>
      </c>
      <c r="N740">
        <f t="shared" si="47"/>
        <v>1</v>
      </c>
      <c r="P740" s="4">
        <f t="shared" si="44"/>
        <v>20</v>
      </c>
      <c r="Q740" s="4" t="str">
        <f t="shared" si="45"/>
        <v>Late Night</v>
      </c>
      <c r="R740" s="4" t="str">
        <f t="shared" si="46"/>
        <v>Low</v>
      </c>
    </row>
    <row r="741" spans="1:18">
      <c r="A741" t="s">
        <v>990</v>
      </c>
      <c r="B741" s="2">
        <v>46156</v>
      </c>
      <c r="C741" s="3">
        <v>0.897916666666667</v>
      </c>
      <c r="D741" t="s">
        <v>316</v>
      </c>
      <c r="E741">
        <v>73.95</v>
      </c>
      <c r="F741" t="s">
        <v>30</v>
      </c>
      <c r="G741" t="s">
        <v>48</v>
      </c>
      <c r="H741" t="s">
        <v>9</v>
      </c>
      <c r="I741" t="s">
        <v>16</v>
      </c>
      <c r="J741" t="s">
        <v>20</v>
      </c>
      <c r="K741">
        <v>42</v>
      </c>
      <c r="L741" t="s">
        <v>49</v>
      </c>
      <c r="M741">
        <v>0</v>
      </c>
      <c r="N741">
        <f t="shared" si="47"/>
        <v>1</v>
      </c>
      <c r="P741" s="4">
        <f t="shared" si="44"/>
        <v>21</v>
      </c>
      <c r="Q741" s="4" t="str">
        <f t="shared" si="45"/>
        <v>Late Night</v>
      </c>
      <c r="R741" s="4" t="str">
        <f t="shared" si="46"/>
        <v>Low</v>
      </c>
    </row>
    <row r="742" spans="1:18">
      <c r="A742" t="s">
        <v>991</v>
      </c>
      <c r="B742" s="2">
        <v>46156</v>
      </c>
      <c r="C742" s="3">
        <v>0.683333333333333</v>
      </c>
      <c r="D742" t="s">
        <v>158</v>
      </c>
      <c r="E742">
        <v>57.84</v>
      </c>
      <c r="F742" t="s">
        <v>31</v>
      </c>
      <c r="G742" t="s">
        <v>71</v>
      </c>
      <c r="H742" t="s">
        <v>4</v>
      </c>
      <c r="I742" t="s">
        <v>15</v>
      </c>
      <c r="J742" t="s">
        <v>20</v>
      </c>
      <c r="K742">
        <v>55</v>
      </c>
      <c r="L742" t="s">
        <v>49</v>
      </c>
      <c r="M742">
        <v>0</v>
      </c>
      <c r="N742">
        <f t="shared" si="47"/>
        <v>1</v>
      </c>
      <c r="P742" s="4">
        <f t="shared" si="44"/>
        <v>16</v>
      </c>
      <c r="Q742" s="4" t="str">
        <f t="shared" si="45"/>
        <v>Late Night</v>
      </c>
      <c r="R742" s="4" t="str">
        <f t="shared" si="46"/>
        <v>Low</v>
      </c>
    </row>
    <row r="743" spans="1:18">
      <c r="A743" t="s">
        <v>992</v>
      </c>
      <c r="B743" s="2">
        <v>46156</v>
      </c>
      <c r="C743" s="3">
        <v>0.504166666666667</v>
      </c>
      <c r="D743" t="s">
        <v>594</v>
      </c>
      <c r="E743">
        <v>60.83</v>
      </c>
      <c r="F743" t="s">
        <v>28</v>
      </c>
      <c r="G743" t="s">
        <v>66</v>
      </c>
      <c r="H743" t="s">
        <v>7</v>
      </c>
      <c r="I743" t="s">
        <v>15</v>
      </c>
      <c r="J743" t="s">
        <v>20</v>
      </c>
      <c r="K743">
        <v>30</v>
      </c>
      <c r="L743" t="s">
        <v>49</v>
      </c>
      <c r="M743">
        <v>0</v>
      </c>
      <c r="N743">
        <f t="shared" si="47"/>
        <v>1</v>
      </c>
      <c r="P743" s="4">
        <f t="shared" si="44"/>
        <v>12</v>
      </c>
      <c r="Q743" s="4" t="str">
        <f t="shared" si="45"/>
        <v>Late Night</v>
      </c>
      <c r="R743" s="4" t="str">
        <f t="shared" si="46"/>
        <v>Low</v>
      </c>
    </row>
    <row r="744" spans="1:18">
      <c r="A744" t="s">
        <v>993</v>
      </c>
      <c r="B744" s="2">
        <v>46156</v>
      </c>
      <c r="C744" s="3">
        <v>0.0354166666666667</v>
      </c>
      <c r="D744" t="s">
        <v>378</v>
      </c>
      <c r="E744">
        <v>113.5</v>
      </c>
      <c r="F744" t="s">
        <v>29</v>
      </c>
      <c r="G744" t="s">
        <v>59</v>
      </c>
      <c r="H744" t="s">
        <v>5</v>
      </c>
      <c r="I744" t="s">
        <v>15</v>
      </c>
      <c r="J744" t="s">
        <v>23</v>
      </c>
      <c r="K744">
        <v>21</v>
      </c>
      <c r="L744" t="s">
        <v>168</v>
      </c>
      <c r="M744">
        <v>1</v>
      </c>
      <c r="N744">
        <f t="shared" si="47"/>
        <v>1</v>
      </c>
      <c r="P744" s="4">
        <f t="shared" si="44"/>
        <v>0</v>
      </c>
      <c r="Q744" s="4" t="str">
        <f t="shared" si="45"/>
        <v>Late Night</v>
      </c>
      <c r="R744" s="4" t="str">
        <f t="shared" si="46"/>
        <v>Low</v>
      </c>
    </row>
    <row r="745" spans="1:18">
      <c r="A745" t="s">
        <v>994</v>
      </c>
      <c r="B745" s="2">
        <v>46156</v>
      </c>
      <c r="C745" s="3">
        <v>0.04375</v>
      </c>
      <c r="D745" t="s">
        <v>364</v>
      </c>
      <c r="E745">
        <v>90.94</v>
      </c>
      <c r="F745" t="s">
        <v>31</v>
      </c>
      <c r="G745" t="s">
        <v>59</v>
      </c>
      <c r="H745" t="s">
        <v>6</v>
      </c>
      <c r="I745" t="s">
        <v>15</v>
      </c>
      <c r="J745" t="s">
        <v>22</v>
      </c>
      <c r="K745">
        <v>31</v>
      </c>
      <c r="L745" t="s">
        <v>168</v>
      </c>
      <c r="M745">
        <v>1</v>
      </c>
      <c r="N745">
        <f t="shared" si="47"/>
        <v>1</v>
      </c>
      <c r="P745" s="4">
        <f t="shared" si="44"/>
        <v>1</v>
      </c>
      <c r="Q745" s="4" t="str">
        <f t="shared" si="45"/>
        <v>Late Night</v>
      </c>
      <c r="R745" s="4" t="str">
        <f t="shared" si="46"/>
        <v>Low</v>
      </c>
    </row>
    <row r="746" spans="1:18">
      <c r="A746" t="s">
        <v>995</v>
      </c>
      <c r="B746" s="2">
        <v>46157</v>
      </c>
      <c r="C746" s="3">
        <v>0.373611111111111</v>
      </c>
      <c r="D746" t="s">
        <v>116</v>
      </c>
      <c r="E746">
        <v>914.24</v>
      </c>
      <c r="F746" t="s">
        <v>31</v>
      </c>
      <c r="G746" t="s">
        <v>59</v>
      </c>
      <c r="H746" t="s">
        <v>10</v>
      </c>
      <c r="I746" t="s">
        <v>15</v>
      </c>
      <c r="J746" t="s">
        <v>21</v>
      </c>
      <c r="K746">
        <v>50</v>
      </c>
      <c r="L746" t="s">
        <v>49</v>
      </c>
      <c r="M746">
        <v>0</v>
      </c>
      <c r="N746">
        <f t="shared" si="47"/>
        <v>1</v>
      </c>
      <c r="P746" s="4">
        <f t="shared" si="44"/>
        <v>8</v>
      </c>
      <c r="Q746" s="4" t="str">
        <f t="shared" si="45"/>
        <v>Late Night</v>
      </c>
      <c r="R746" s="4" t="str">
        <f t="shared" si="46"/>
        <v>Low</v>
      </c>
    </row>
    <row r="747" spans="1:18">
      <c r="A747" t="s">
        <v>996</v>
      </c>
      <c r="B747" s="2">
        <v>46157</v>
      </c>
      <c r="C747" s="3">
        <v>0.0881944444444444</v>
      </c>
      <c r="D747" t="s">
        <v>53</v>
      </c>
      <c r="E747">
        <v>109.53</v>
      </c>
      <c r="F747" t="s">
        <v>31</v>
      </c>
      <c r="G747" t="s">
        <v>71</v>
      </c>
      <c r="H747" t="s">
        <v>6</v>
      </c>
      <c r="I747" t="s">
        <v>16</v>
      </c>
      <c r="J747" t="s">
        <v>20</v>
      </c>
      <c r="K747">
        <v>45</v>
      </c>
      <c r="L747" t="s">
        <v>49</v>
      </c>
      <c r="M747">
        <v>0</v>
      </c>
      <c r="N747">
        <f t="shared" si="47"/>
        <v>1</v>
      </c>
      <c r="P747" s="4">
        <f t="shared" si="44"/>
        <v>2</v>
      </c>
      <c r="Q747" s="4" t="str">
        <f t="shared" si="45"/>
        <v>Late Night</v>
      </c>
      <c r="R747" s="4" t="str">
        <f t="shared" si="46"/>
        <v>Low</v>
      </c>
    </row>
    <row r="748" spans="1:18">
      <c r="A748" t="s">
        <v>997</v>
      </c>
      <c r="B748" s="2">
        <v>46157</v>
      </c>
      <c r="C748" s="3">
        <v>0.0131944444444444</v>
      </c>
      <c r="D748" t="s">
        <v>116</v>
      </c>
      <c r="E748">
        <v>51.95</v>
      </c>
      <c r="F748" t="s">
        <v>31</v>
      </c>
      <c r="G748" t="s">
        <v>54</v>
      </c>
      <c r="H748" t="s">
        <v>7</v>
      </c>
      <c r="I748" t="s">
        <v>14</v>
      </c>
      <c r="J748" t="s">
        <v>18</v>
      </c>
      <c r="K748">
        <v>54</v>
      </c>
      <c r="L748" t="s">
        <v>85</v>
      </c>
      <c r="M748">
        <v>1</v>
      </c>
      <c r="N748">
        <f t="shared" si="47"/>
        <v>1</v>
      </c>
      <c r="P748" s="4">
        <f t="shared" si="44"/>
        <v>0</v>
      </c>
      <c r="Q748" s="4" t="str">
        <f t="shared" si="45"/>
        <v>Late Night</v>
      </c>
      <c r="R748" s="4" t="str">
        <f t="shared" si="46"/>
        <v>Low</v>
      </c>
    </row>
    <row r="749" spans="1:18">
      <c r="A749" t="s">
        <v>998</v>
      </c>
      <c r="B749" s="2">
        <v>46157</v>
      </c>
      <c r="C749" s="3">
        <v>0.852777777777778</v>
      </c>
      <c r="D749" t="s">
        <v>201</v>
      </c>
      <c r="E749">
        <v>54.95</v>
      </c>
      <c r="F749" t="s">
        <v>31</v>
      </c>
      <c r="G749" t="s">
        <v>54</v>
      </c>
      <c r="H749" t="s">
        <v>7</v>
      </c>
      <c r="I749" t="s">
        <v>14</v>
      </c>
      <c r="J749" t="s">
        <v>20</v>
      </c>
      <c r="K749">
        <v>25</v>
      </c>
      <c r="L749" t="s">
        <v>49</v>
      </c>
      <c r="M749">
        <v>0</v>
      </c>
      <c r="N749">
        <f t="shared" si="47"/>
        <v>1</v>
      </c>
      <c r="P749" s="4">
        <f t="shared" si="44"/>
        <v>20</v>
      </c>
      <c r="Q749" s="4" t="str">
        <f t="shared" si="45"/>
        <v>Late Night</v>
      </c>
      <c r="R749" s="4" t="str">
        <f t="shared" si="46"/>
        <v>Low</v>
      </c>
    </row>
    <row r="750" spans="1:18">
      <c r="A750" t="s">
        <v>999</v>
      </c>
      <c r="B750" s="2">
        <v>46157</v>
      </c>
      <c r="C750" s="3">
        <v>0.661805555555556</v>
      </c>
      <c r="D750" t="s">
        <v>87</v>
      </c>
      <c r="E750">
        <v>150.81</v>
      </c>
      <c r="F750" t="s">
        <v>30</v>
      </c>
      <c r="G750" t="s">
        <v>48</v>
      </c>
      <c r="H750" t="s">
        <v>10</v>
      </c>
      <c r="I750" t="s">
        <v>16</v>
      </c>
      <c r="J750" t="s">
        <v>24</v>
      </c>
      <c r="K750">
        <v>61</v>
      </c>
      <c r="L750" t="s">
        <v>49</v>
      </c>
      <c r="M750">
        <v>0</v>
      </c>
      <c r="N750">
        <f t="shared" si="47"/>
        <v>1</v>
      </c>
      <c r="P750" s="4">
        <f t="shared" si="44"/>
        <v>15</v>
      </c>
      <c r="Q750" s="4" t="str">
        <f t="shared" si="45"/>
        <v>Late Night</v>
      </c>
      <c r="R750" s="4" t="str">
        <f t="shared" si="46"/>
        <v>Low</v>
      </c>
    </row>
    <row r="751" spans="1:18">
      <c r="A751" t="s">
        <v>1000</v>
      </c>
      <c r="B751" s="2">
        <v>46157</v>
      </c>
      <c r="C751" s="3">
        <v>0.952777777777778</v>
      </c>
      <c r="D751" t="s">
        <v>114</v>
      </c>
      <c r="E751">
        <v>29.31</v>
      </c>
      <c r="F751" t="s">
        <v>31</v>
      </c>
      <c r="G751" t="s">
        <v>66</v>
      </c>
      <c r="H751" t="s">
        <v>8</v>
      </c>
      <c r="I751" t="s">
        <v>15</v>
      </c>
      <c r="J751" t="s">
        <v>22</v>
      </c>
      <c r="K751">
        <v>51</v>
      </c>
      <c r="L751" t="s">
        <v>49</v>
      </c>
      <c r="M751">
        <v>0</v>
      </c>
      <c r="N751">
        <f t="shared" si="47"/>
        <v>1</v>
      </c>
      <c r="P751" s="4">
        <f t="shared" si="44"/>
        <v>22</v>
      </c>
      <c r="Q751" s="4" t="str">
        <f t="shared" si="45"/>
        <v>Late Night</v>
      </c>
      <c r="R751" s="4" t="str">
        <f t="shared" si="46"/>
        <v>Low</v>
      </c>
    </row>
    <row r="752" spans="1:18">
      <c r="A752" t="s">
        <v>1001</v>
      </c>
      <c r="B752" s="2">
        <v>46158</v>
      </c>
      <c r="C752" s="3">
        <v>0.243055555555556</v>
      </c>
      <c r="D752" t="s">
        <v>123</v>
      </c>
      <c r="E752">
        <v>170.7</v>
      </c>
      <c r="F752" t="s">
        <v>28</v>
      </c>
      <c r="G752" t="s">
        <v>59</v>
      </c>
      <c r="H752" t="s">
        <v>4</v>
      </c>
      <c r="I752" t="s">
        <v>15</v>
      </c>
      <c r="J752" t="s">
        <v>19</v>
      </c>
      <c r="K752">
        <v>61</v>
      </c>
      <c r="L752" t="s">
        <v>49</v>
      </c>
      <c r="M752">
        <v>0</v>
      </c>
      <c r="N752">
        <f t="shared" si="47"/>
        <v>1</v>
      </c>
      <c r="P752" s="4">
        <f t="shared" si="44"/>
        <v>5</v>
      </c>
      <c r="Q752" s="4" t="str">
        <f t="shared" si="45"/>
        <v>Late Night</v>
      </c>
      <c r="R752" s="4" t="str">
        <f t="shared" si="46"/>
        <v>Low</v>
      </c>
    </row>
    <row r="753" spans="1:18">
      <c r="A753" t="s">
        <v>1002</v>
      </c>
      <c r="B753" s="2">
        <v>46158</v>
      </c>
      <c r="C753" s="3">
        <v>0.697222222222222</v>
      </c>
      <c r="D753" t="s">
        <v>112</v>
      </c>
      <c r="E753">
        <v>47.65</v>
      </c>
      <c r="F753" t="s">
        <v>31</v>
      </c>
      <c r="G753" t="s">
        <v>54</v>
      </c>
      <c r="H753" t="s">
        <v>9</v>
      </c>
      <c r="I753" t="s">
        <v>15</v>
      </c>
      <c r="J753" t="s">
        <v>22</v>
      </c>
      <c r="K753">
        <v>22</v>
      </c>
      <c r="L753" t="s">
        <v>49</v>
      </c>
      <c r="M753">
        <v>0</v>
      </c>
      <c r="N753">
        <f t="shared" si="47"/>
        <v>1</v>
      </c>
      <c r="P753" s="4">
        <f t="shared" si="44"/>
        <v>16</v>
      </c>
      <c r="Q753" s="4" t="str">
        <f t="shared" si="45"/>
        <v>Late Night</v>
      </c>
      <c r="R753" s="4" t="str">
        <f t="shared" si="46"/>
        <v>Low</v>
      </c>
    </row>
    <row r="754" spans="1:18">
      <c r="A754" t="s">
        <v>1003</v>
      </c>
      <c r="B754" s="2">
        <v>46158</v>
      </c>
      <c r="C754" s="3">
        <v>0.197916666666667</v>
      </c>
      <c r="D754" t="s">
        <v>153</v>
      </c>
      <c r="E754">
        <v>577.44</v>
      </c>
      <c r="F754" t="s">
        <v>32</v>
      </c>
      <c r="G754" t="s">
        <v>48</v>
      </c>
      <c r="H754" t="s">
        <v>8</v>
      </c>
      <c r="I754" t="s">
        <v>15</v>
      </c>
      <c r="J754" t="s">
        <v>19</v>
      </c>
      <c r="K754">
        <v>22</v>
      </c>
      <c r="L754" t="s">
        <v>49</v>
      </c>
      <c r="M754">
        <v>1</v>
      </c>
      <c r="N754">
        <f t="shared" si="47"/>
        <v>1</v>
      </c>
      <c r="P754" s="4">
        <f t="shared" si="44"/>
        <v>4</v>
      </c>
      <c r="Q754" s="4" t="str">
        <f t="shared" si="45"/>
        <v>Late Night</v>
      </c>
      <c r="R754" s="4" t="str">
        <f t="shared" si="46"/>
        <v>Low</v>
      </c>
    </row>
    <row r="755" spans="1:18">
      <c r="A755" t="s">
        <v>1004</v>
      </c>
      <c r="B755" s="2">
        <v>46158</v>
      </c>
      <c r="C755" s="3">
        <v>0.172916666666667</v>
      </c>
      <c r="D755" t="s">
        <v>203</v>
      </c>
      <c r="E755">
        <v>203.68</v>
      </c>
      <c r="F755" t="s">
        <v>31</v>
      </c>
      <c r="G755" t="s">
        <v>66</v>
      </c>
      <c r="H755" t="s">
        <v>3</v>
      </c>
      <c r="I755" t="s">
        <v>15</v>
      </c>
      <c r="J755" t="s">
        <v>19</v>
      </c>
      <c r="K755">
        <v>48</v>
      </c>
      <c r="L755" t="s">
        <v>49</v>
      </c>
      <c r="M755">
        <v>0</v>
      </c>
      <c r="N755">
        <f t="shared" si="47"/>
        <v>1</v>
      </c>
      <c r="P755" s="4">
        <f t="shared" si="44"/>
        <v>4</v>
      </c>
      <c r="Q755" s="4" t="str">
        <f t="shared" si="45"/>
        <v>Late Night</v>
      </c>
      <c r="R755" s="4" t="str">
        <f t="shared" si="46"/>
        <v>Low</v>
      </c>
    </row>
    <row r="756" spans="1:18">
      <c r="A756" t="s">
        <v>1005</v>
      </c>
      <c r="B756" s="2">
        <v>46158</v>
      </c>
      <c r="C756" s="3">
        <v>0.2375</v>
      </c>
      <c r="D756" t="s">
        <v>203</v>
      </c>
      <c r="E756">
        <v>1511.75</v>
      </c>
      <c r="F756" t="s">
        <v>28</v>
      </c>
      <c r="G756" t="s">
        <v>48</v>
      </c>
      <c r="H756" t="s">
        <v>6</v>
      </c>
      <c r="I756" t="s">
        <v>15</v>
      </c>
      <c r="J756" t="s">
        <v>21</v>
      </c>
      <c r="K756">
        <v>62</v>
      </c>
      <c r="L756" t="s">
        <v>49</v>
      </c>
      <c r="M756">
        <v>0</v>
      </c>
      <c r="N756">
        <f t="shared" si="47"/>
        <v>1</v>
      </c>
      <c r="P756" s="4">
        <f t="shared" si="44"/>
        <v>5</v>
      </c>
      <c r="Q756" s="4" t="str">
        <f t="shared" si="45"/>
        <v>Late Night</v>
      </c>
      <c r="R756" s="4" t="str">
        <f t="shared" si="46"/>
        <v>Medium</v>
      </c>
    </row>
    <row r="757" spans="1:18">
      <c r="A757" t="s">
        <v>1006</v>
      </c>
      <c r="B757" s="2">
        <v>46159</v>
      </c>
      <c r="C757" s="3">
        <v>0.10625</v>
      </c>
      <c r="D757" t="s">
        <v>51</v>
      </c>
      <c r="E757">
        <v>144.29</v>
      </c>
      <c r="F757" t="s">
        <v>30</v>
      </c>
      <c r="G757" t="s">
        <v>59</v>
      </c>
      <c r="H757" t="s">
        <v>10</v>
      </c>
      <c r="I757" t="s">
        <v>15</v>
      </c>
      <c r="J757" t="s">
        <v>23</v>
      </c>
      <c r="K757">
        <v>26</v>
      </c>
      <c r="L757" t="s">
        <v>168</v>
      </c>
      <c r="M757">
        <v>1</v>
      </c>
      <c r="N757">
        <f t="shared" si="47"/>
        <v>1</v>
      </c>
      <c r="P757" s="4">
        <f t="shared" si="44"/>
        <v>2</v>
      </c>
      <c r="Q757" s="4" t="str">
        <f t="shared" si="45"/>
        <v>Late Night</v>
      </c>
      <c r="R757" s="4" t="str">
        <f t="shared" si="46"/>
        <v>Low</v>
      </c>
    </row>
    <row r="758" spans="1:18">
      <c r="A758" t="s">
        <v>1007</v>
      </c>
      <c r="B758" s="2">
        <v>46159</v>
      </c>
      <c r="C758" s="3">
        <v>0.872222222222222</v>
      </c>
      <c r="D758" t="s">
        <v>121</v>
      </c>
      <c r="E758">
        <v>20</v>
      </c>
      <c r="F758" t="s">
        <v>30</v>
      </c>
      <c r="G758" t="s">
        <v>71</v>
      </c>
      <c r="H758" t="s">
        <v>6</v>
      </c>
      <c r="I758" t="s">
        <v>15</v>
      </c>
      <c r="J758" t="s">
        <v>19</v>
      </c>
      <c r="K758">
        <v>59</v>
      </c>
      <c r="L758" t="s">
        <v>49</v>
      </c>
      <c r="M758">
        <v>0</v>
      </c>
      <c r="N758">
        <f t="shared" si="47"/>
        <v>1</v>
      </c>
      <c r="P758" s="4">
        <f t="shared" si="44"/>
        <v>20</v>
      </c>
      <c r="Q758" s="4" t="str">
        <f t="shared" si="45"/>
        <v>Late Night</v>
      </c>
      <c r="R758" s="4" t="str">
        <f t="shared" si="46"/>
        <v>Low</v>
      </c>
    </row>
    <row r="759" spans="1:18">
      <c r="A759" t="s">
        <v>1008</v>
      </c>
      <c r="B759" s="2">
        <v>46159</v>
      </c>
      <c r="C759" s="3">
        <v>0.934027777777778</v>
      </c>
      <c r="D759" t="s">
        <v>294</v>
      </c>
      <c r="E759">
        <v>778.74</v>
      </c>
      <c r="F759" t="s">
        <v>31</v>
      </c>
      <c r="G759" t="s">
        <v>54</v>
      </c>
      <c r="H759" t="s">
        <v>8</v>
      </c>
      <c r="I759" t="s">
        <v>15</v>
      </c>
      <c r="J759" t="s">
        <v>19</v>
      </c>
      <c r="K759">
        <v>49</v>
      </c>
      <c r="L759" t="s">
        <v>159</v>
      </c>
      <c r="M759">
        <v>0</v>
      </c>
      <c r="N759">
        <f t="shared" si="47"/>
        <v>1</v>
      </c>
      <c r="P759" s="4">
        <f t="shared" si="44"/>
        <v>22</v>
      </c>
      <c r="Q759" s="4" t="str">
        <f t="shared" si="45"/>
        <v>Late Night</v>
      </c>
      <c r="R759" s="4" t="str">
        <f t="shared" si="46"/>
        <v>Low</v>
      </c>
    </row>
    <row r="760" spans="1:18">
      <c r="A760" t="s">
        <v>1009</v>
      </c>
      <c r="B760" s="2">
        <v>46159</v>
      </c>
      <c r="C760" s="3">
        <v>0.194444444444444</v>
      </c>
      <c r="D760" t="s">
        <v>554</v>
      </c>
      <c r="E760">
        <v>299.44</v>
      </c>
      <c r="F760" t="s">
        <v>30</v>
      </c>
      <c r="G760" t="s">
        <v>48</v>
      </c>
      <c r="H760" t="s">
        <v>7</v>
      </c>
      <c r="I760" t="s">
        <v>15</v>
      </c>
      <c r="J760" t="s">
        <v>21</v>
      </c>
      <c r="K760">
        <v>50</v>
      </c>
      <c r="L760" t="s">
        <v>49</v>
      </c>
      <c r="M760">
        <v>0</v>
      </c>
      <c r="N760">
        <f t="shared" si="47"/>
        <v>1</v>
      </c>
      <c r="P760" s="4">
        <f t="shared" si="44"/>
        <v>4</v>
      </c>
      <c r="Q760" s="4" t="str">
        <f t="shared" si="45"/>
        <v>Late Night</v>
      </c>
      <c r="R760" s="4" t="str">
        <f t="shared" si="46"/>
        <v>Low</v>
      </c>
    </row>
    <row r="761" spans="1:18">
      <c r="A761" t="s">
        <v>1010</v>
      </c>
      <c r="B761" s="2">
        <v>46159</v>
      </c>
      <c r="C761" s="3">
        <v>0.866666666666667</v>
      </c>
      <c r="D761" t="s">
        <v>392</v>
      </c>
      <c r="E761">
        <v>349.64</v>
      </c>
      <c r="F761" t="s">
        <v>28</v>
      </c>
      <c r="G761" t="s">
        <v>59</v>
      </c>
      <c r="H761" t="s">
        <v>9</v>
      </c>
      <c r="I761" t="s">
        <v>15</v>
      </c>
      <c r="J761" t="s">
        <v>20</v>
      </c>
      <c r="K761">
        <v>20</v>
      </c>
      <c r="L761" t="s">
        <v>49</v>
      </c>
      <c r="M761">
        <v>0</v>
      </c>
      <c r="N761">
        <f t="shared" si="47"/>
        <v>1</v>
      </c>
      <c r="P761" s="4">
        <f t="shared" si="44"/>
        <v>20</v>
      </c>
      <c r="Q761" s="4" t="str">
        <f t="shared" si="45"/>
        <v>Late Night</v>
      </c>
      <c r="R761" s="4" t="str">
        <f t="shared" si="46"/>
        <v>Low</v>
      </c>
    </row>
    <row r="762" spans="1:18">
      <c r="A762" t="s">
        <v>1011</v>
      </c>
      <c r="B762" s="2">
        <v>46159</v>
      </c>
      <c r="C762" s="3">
        <v>0.20625</v>
      </c>
      <c r="D762" t="s">
        <v>336</v>
      </c>
      <c r="E762">
        <v>66.51</v>
      </c>
      <c r="F762" t="s">
        <v>28</v>
      </c>
      <c r="G762" t="s">
        <v>66</v>
      </c>
      <c r="H762" t="s">
        <v>6</v>
      </c>
      <c r="I762" t="s">
        <v>15</v>
      </c>
      <c r="J762" t="s">
        <v>24</v>
      </c>
      <c r="K762">
        <v>47</v>
      </c>
      <c r="L762" t="s">
        <v>49</v>
      </c>
      <c r="M762">
        <v>0</v>
      </c>
      <c r="N762">
        <f t="shared" si="47"/>
        <v>1</v>
      </c>
      <c r="P762" s="4">
        <f t="shared" si="44"/>
        <v>4</v>
      </c>
      <c r="Q762" s="4" t="str">
        <f t="shared" si="45"/>
        <v>Late Night</v>
      </c>
      <c r="R762" s="4" t="str">
        <f t="shared" si="46"/>
        <v>Low</v>
      </c>
    </row>
    <row r="763" spans="1:18">
      <c r="A763" t="s">
        <v>1012</v>
      </c>
      <c r="B763" s="2">
        <v>46160</v>
      </c>
      <c r="C763" s="3">
        <v>0.376388888888889</v>
      </c>
      <c r="D763" t="s">
        <v>364</v>
      </c>
      <c r="E763">
        <v>173.67</v>
      </c>
      <c r="F763" t="s">
        <v>31</v>
      </c>
      <c r="G763" t="s">
        <v>59</v>
      </c>
      <c r="H763" t="s">
        <v>3</v>
      </c>
      <c r="I763" t="s">
        <v>15</v>
      </c>
      <c r="J763" t="s">
        <v>18</v>
      </c>
      <c r="K763">
        <v>29</v>
      </c>
      <c r="L763" t="s">
        <v>49</v>
      </c>
      <c r="M763">
        <v>0</v>
      </c>
      <c r="N763">
        <f t="shared" si="47"/>
        <v>1</v>
      </c>
      <c r="P763" s="4">
        <f t="shared" si="44"/>
        <v>9</v>
      </c>
      <c r="Q763" s="4" t="str">
        <f t="shared" si="45"/>
        <v>Late Night</v>
      </c>
      <c r="R763" s="4" t="str">
        <f t="shared" si="46"/>
        <v>Low</v>
      </c>
    </row>
    <row r="764" spans="1:18">
      <c r="A764" t="s">
        <v>1013</v>
      </c>
      <c r="B764" s="2">
        <v>46160</v>
      </c>
      <c r="C764" s="3">
        <v>0.413194444444444</v>
      </c>
      <c r="D764" t="s">
        <v>208</v>
      </c>
      <c r="E764">
        <v>218.43</v>
      </c>
      <c r="F764" t="s">
        <v>31</v>
      </c>
      <c r="G764" t="s">
        <v>71</v>
      </c>
      <c r="H764" t="s">
        <v>7</v>
      </c>
      <c r="I764" t="s">
        <v>14</v>
      </c>
      <c r="J764" t="s">
        <v>21</v>
      </c>
      <c r="K764">
        <v>46</v>
      </c>
      <c r="L764" t="s">
        <v>49</v>
      </c>
      <c r="M764">
        <v>0</v>
      </c>
      <c r="N764">
        <f t="shared" si="47"/>
        <v>1</v>
      </c>
      <c r="P764" s="4">
        <f t="shared" si="44"/>
        <v>9</v>
      </c>
      <c r="Q764" s="4" t="str">
        <f t="shared" si="45"/>
        <v>Late Night</v>
      </c>
      <c r="R764" s="4" t="str">
        <f t="shared" si="46"/>
        <v>Low</v>
      </c>
    </row>
    <row r="765" spans="1:18">
      <c r="A765" t="s">
        <v>1014</v>
      </c>
      <c r="B765" s="2">
        <v>46160</v>
      </c>
      <c r="C765" s="3">
        <v>0.753472222222222</v>
      </c>
      <c r="D765" t="s">
        <v>292</v>
      </c>
      <c r="E765">
        <v>142.9</v>
      </c>
      <c r="F765" t="s">
        <v>29</v>
      </c>
      <c r="G765" t="s">
        <v>48</v>
      </c>
      <c r="H765" t="s">
        <v>3</v>
      </c>
      <c r="I765" t="s">
        <v>15</v>
      </c>
      <c r="J765" t="s">
        <v>23</v>
      </c>
      <c r="K765">
        <v>20</v>
      </c>
      <c r="L765" t="s">
        <v>49</v>
      </c>
      <c r="M765">
        <v>0</v>
      </c>
      <c r="N765">
        <f t="shared" si="47"/>
        <v>1</v>
      </c>
      <c r="P765" s="4">
        <f t="shared" si="44"/>
        <v>18</v>
      </c>
      <c r="Q765" s="4" t="str">
        <f t="shared" si="45"/>
        <v>Late Night</v>
      </c>
      <c r="R765" s="4" t="str">
        <f t="shared" si="46"/>
        <v>Low</v>
      </c>
    </row>
    <row r="766" spans="1:18">
      <c r="A766" t="s">
        <v>1015</v>
      </c>
      <c r="B766" s="2">
        <v>46160</v>
      </c>
      <c r="C766" s="3">
        <v>0.669444444444444</v>
      </c>
      <c r="D766" t="s">
        <v>427</v>
      </c>
      <c r="E766">
        <v>32</v>
      </c>
      <c r="F766" t="s">
        <v>28</v>
      </c>
      <c r="G766" t="s">
        <v>54</v>
      </c>
      <c r="H766" t="s">
        <v>9</v>
      </c>
      <c r="I766" t="s">
        <v>15</v>
      </c>
      <c r="J766" t="s">
        <v>21</v>
      </c>
      <c r="K766">
        <v>43</v>
      </c>
      <c r="L766" t="s">
        <v>49</v>
      </c>
      <c r="M766">
        <v>0</v>
      </c>
      <c r="N766">
        <f t="shared" si="47"/>
        <v>1</v>
      </c>
      <c r="P766" s="4">
        <f t="shared" si="44"/>
        <v>16</v>
      </c>
      <c r="Q766" s="4" t="str">
        <f t="shared" si="45"/>
        <v>Late Night</v>
      </c>
      <c r="R766" s="4" t="str">
        <f t="shared" si="46"/>
        <v>Low</v>
      </c>
    </row>
    <row r="767" spans="1:18">
      <c r="A767" t="s">
        <v>1016</v>
      </c>
      <c r="B767" s="2">
        <v>46160</v>
      </c>
      <c r="C767" s="3">
        <v>0.836111111111111</v>
      </c>
      <c r="D767" t="s">
        <v>665</v>
      </c>
      <c r="E767">
        <v>2889.08</v>
      </c>
      <c r="F767" t="s">
        <v>28</v>
      </c>
      <c r="G767" t="s">
        <v>59</v>
      </c>
      <c r="H767" t="s">
        <v>6</v>
      </c>
      <c r="I767" t="s">
        <v>14</v>
      </c>
      <c r="J767" t="s">
        <v>22</v>
      </c>
      <c r="K767">
        <v>47</v>
      </c>
      <c r="L767" t="s">
        <v>49</v>
      </c>
      <c r="M767">
        <v>0</v>
      </c>
      <c r="N767">
        <f t="shared" si="47"/>
        <v>1</v>
      </c>
      <c r="P767" s="4">
        <f t="shared" si="44"/>
        <v>20</v>
      </c>
      <c r="Q767" s="4" t="str">
        <f t="shared" si="45"/>
        <v>Late Night</v>
      </c>
      <c r="R767" s="4" t="str">
        <f t="shared" si="46"/>
        <v>Medium</v>
      </c>
    </row>
    <row r="768" spans="1:18">
      <c r="A768" t="s">
        <v>1017</v>
      </c>
      <c r="B768" s="2">
        <v>46161</v>
      </c>
      <c r="C768" s="3">
        <v>0.578472222222222</v>
      </c>
      <c r="D768" t="s">
        <v>783</v>
      </c>
      <c r="E768">
        <v>418.15</v>
      </c>
      <c r="F768" t="s">
        <v>29</v>
      </c>
      <c r="G768" t="s">
        <v>66</v>
      </c>
      <c r="H768" t="s">
        <v>5</v>
      </c>
      <c r="I768" t="s">
        <v>15</v>
      </c>
      <c r="J768" t="s">
        <v>20</v>
      </c>
      <c r="K768">
        <v>26</v>
      </c>
      <c r="L768" t="s">
        <v>49</v>
      </c>
      <c r="M768">
        <v>0</v>
      </c>
      <c r="N768">
        <f t="shared" si="47"/>
        <v>1</v>
      </c>
      <c r="P768" s="4">
        <f t="shared" si="44"/>
        <v>13</v>
      </c>
      <c r="Q768" s="4" t="str">
        <f t="shared" si="45"/>
        <v>Late Night</v>
      </c>
      <c r="R768" s="4" t="str">
        <f t="shared" si="46"/>
        <v>Low</v>
      </c>
    </row>
    <row r="769" spans="1:18">
      <c r="A769" t="s">
        <v>1018</v>
      </c>
      <c r="B769" s="2">
        <v>46161</v>
      </c>
      <c r="C769" s="3">
        <v>0.365277777777778</v>
      </c>
      <c r="D769" t="s">
        <v>568</v>
      </c>
      <c r="E769">
        <v>276.05</v>
      </c>
      <c r="F769" t="s">
        <v>29</v>
      </c>
      <c r="G769" t="s">
        <v>48</v>
      </c>
      <c r="H769" t="s">
        <v>8</v>
      </c>
      <c r="I769" t="s">
        <v>15</v>
      </c>
      <c r="J769" t="s">
        <v>20</v>
      </c>
      <c r="K769">
        <v>43</v>
      </c>
      <c r="L769" t="s">
        <v>49</v>
      </c>
      <c r="M769">
        <v>0</v>
      </c>
      <c r="N769">
        <f t="shared" si="47"/>
        <v>1</v>
      </c>
      <c r="P769" s="4">
        <f t="shared" si="44"/>
        <v>8</v>
      </c>
      <c r="Q769" s="4" t="str">
        <f t="shared" si="45"/>
        <v>Late Night</v>
      </c>
      <c r="R769" s="4" t="str">
        <f t="shared" si="46"/>
        <v>Low</v>
      </c>
    </row>
    <row r="770" spans="1:18">
      <c r="A770" t="s">
        <v>1019</v>
      </c>
      <c r="B770" s="2">
        <v>46161</v>
      </c>
      <c r="C770" s="3">
        <v>0.556944444444444</v>
      </c>
      <c r="D770" t="s">
        <v>172</v>
      </c>
      <c r="E770">
        <v>674.44</v>
      </c>
      <c r="F770" t="s">
        <v>31</v>
      </c>
      <c r="G770" t="s">
        <v>66</v>
      </c>
      <c r="H770" t="s">
        <v>6</v>
      </c>
      <c r="I770" t="s">
        <v>15</v>
      </c>
      <c r="J770" t="s">
        <v>19</v>
      </c>
      <c r="K770">
        <v>19</v>
      </c>
      <c r="L770" t="s">
        <v>49</v>
      </c>
      <c r="M770">
        <v>0</v>
      </c>
      <c r="N770">
        <f t="shared" si="47"/>
        <v>1</v>
      </c>
      <c r="P770" s="4">
        <f t="shared" ref="P770:P833" si="48">HOUR(C770)</f>
        <v>13</v>
      </c>
      <c r="Q770" s="4" t="str">
        <f t="shared" ref="Q770:Q833" si="49">IF(N770&lt;6,"Late Night",IF(N770&lt;12,"Morning",IF(N770&lt;18,"Afternoon","Evening")))</f>
        <v>Late Night</v>
      </c>
      <c r="R770" s="4" t="str">
        <f t="shared" ref="R770:R833" si="50">IF(E770&lt;1000,"Low",IF(E770&lt;5000,"Medium",IF(E770&lt;15000,"High","Very High")))</f>
        <v>Low</v>
      </c>
    </row>
    <row r="771" spans="1:18">
      <c r="A771" t="s">
        <v>1020</v>
      </c>
      <c r="B771" s="2">
        <v>46161</v>
      </c>
      <c r="C771" s="3">
        <v>0.0333333333333333</v>
      </c>
      <c r="D771" t="s">
        <v>125</v>
      </c>
      <c r="E771">
        <v>345.22</v>
      </c>
      <c r="F771" t="s">
        <v>29</v>
      </c>
      <c r="G771" t="s">
        <v>59</v>
      </c>
      <c r="H771" t="s">
        <v>8</v>
      </c>
      <c r="I771" t="s">
        <v>15</v>
      </c>
      <c r="J771" t="s">
        <v>20</v>
      </c>
      <c r="K771">
        <v>20</v>
      </c>
      <c r="L771" t="s">
        <v>85</v>
      </c>
      <c r="M771">
        <v>1</v>
      </c>
      <c r="N771">
        <f t="shared" ref="N771:N834" si="51">COUNTIF($A$2:$A$1001,A771)</f>
        <v>1</v>
      </c>
      <c r="P771" s="4">
        <f t="shared" si="48"/>
        <v>0</v>
      </c>
      <c r="Q771" s="4" t="str">
        <f t="shared" si="49"/>
        <v>Late Night</v>
      </c>
      <c r="R771" s="4" t="str">
        <f t="shared" si="50"/>
        <v>Low</v>
      </c>
    </row>
    <row r="772" spans="1:18">
      <c r="A772" t="s">
        <v>1021</v>
      </c>
      <c r="B772" s="2">
        <v>46161</v>
      </c>
      <c r="C772" s="3">
        <v>0.755555555555556</v>
      </c>
      <c r="D772" t="s">
        <v>108</v>
      </c>
      <c r="E772">
        <v>92.09</v>
      </c>
      <c r="F772" t="s">
        <v>31</v>
      </c>
      <c r="G772" t="s">
        <v>54</v>
      </c>
      <c r="H772" t="s">
        <v>9</v>
      </c>
      <c r="I772" t="s">
        <v>14</v>
      </c>
      <c r="J772" t="s">
        <v>20</v>
      </c>
      <c r="K772">
        <v>63</v>
      </c>
      <c r="L772" t="s">
        <v>168</v>
      </c>
      <c r="M772">
        <v>1</v>
      </c>
      <c r="N772">
        <f t="shared" si="51"/>
        <v>1</v>
      </c>
      <c r="P772" s="4">
        <f t="shared" si="48"/>
        <v>18</v>
      </c>
      <c r="Q772" s="4" t="str">
        <f t="shared" si="49"/>
        <v>Late Night</v>
      </c>
      <c r="R772" s="4" t="str">
        <f t="shared" si="50"/>
        <v>Low</v>
      </c>
    </row>
    <row r="773" spans="1:18">
      <c r="A773" t="s">
        <v>1022</v>
      </c>
      <c r="B773" s="2">
        <v>46161</v>
      </c>
      <c r="C773" s="3">
        <v>0.523611111111111</v>
      </c>
      <c r="D773" t="s">
        <v>262</v>
      </c>
      <c r="E773">
        <v>632.56</v>
      </c>
      <c r="F773" t="s">
        <v>29</v>
      </c>
      <c r="G773" t="s">
        <v>48</v>
      </c>
      <c r="H773" t="s">
        <v>6</v>
      </c>
      <c r="I773" t="s">
        <v>14</v>
      </c>
      <c r="J773" t="s">
        <v>20</v>
      </c>
      <c r="K773">
        <v>21</v>
      </c>
      <c r="L773" t="s">
        <v>168</v>
      </c>
      <c r="M773">
        <v>1</v>
      </c>
      <c r="N773">
        <f t="shared" si="51"/>
        <v>1</v>
      </c>
      <c r="P773" s="4">
        <f t="shared" si="48"/>
        <v>12</v>
      </c>
      <c r="Q773" s="4" t="str">
        <f t="shared" si="49"/>
        <v>Late Night</v>
      </c>
      <c r="R773" s="4" t="str">
        <f t="shared" si="50"/>
        <v>Low</v>
      </c>
    </row>
    <row r="774" spans="1:18">
      <c r="A774" t="s">
        <v>1023</v>
      </c>
      <c r="B774" s="2">
        <v>46162</v>
      </c>
      <c r="C774" s="3">
        <v>0.513194444444444</v>
      </c>
      <c r="D774" t="s">
        <v>905</v>
      </c>
      <c r="E774">
        <v>425.05</v>
      </c>
      <c r="F774" t="s">
        <v>29</v>
      </c>
      <c r="G774" t="s">
        <v>66</v>
      </c>
      <c r="H774" t="s">
        <v>8</v>
      </c>
      <c r="I774" t="s">
        <v>15</v>
      </c>
      <c r="J774" t="s">
        <v>20</v>
      </c>
      <c r="K774">
        <v>42</v>
      </c>
      <c r="L774" t="s">
        <v>49</v>
      </c>
      <c r="M774">
        <v>0</v>
      </c>
      <c r="N774">
        <f t="shared" si="51"/>
        <v>1</v>
      </c>
      <c r="P774" s="4">
        <f t="shared" si="48"/>
        <v>12</v>
      </c>
      <c r="Q774" s="4" t="str">
        <f t="shared" si="49"/>
        <v>Late Night</v>
      </c>
      <c r="R774" s="4" t="str">
        <f t="shared" si="50"/>
        <v>Low</v>
      </c>
    </row>
    <row r="775" spans="1:18">
      <c r="A775" t="s">
        <v>1024</v>
      </c>
      <c r="B775" s="2">
        <v>46162</v>
      </c>
      <c r="C775" s="3">
        <v>0.164583333333333</v>
      </c>
      <c r="D775" t="s">
        <v>605</v>
      </c>
      <c r="E775">
        <v>95.65</v>
      </c>
      <c r="F775" t="s">
        <v>32</v>
      </c>
      <c r="G775" t="s">
        <v>48</v>
      </c>
      <c r="H775" t="s">
        <v>10</v>
      </c>
      <c r="I775" t="s">
        <v>15</v>
      </c>
      <c r="J775" t="s">
        <v>18</v>
      </c>
      <c r="K775">
        <v>30</v>
      </c>
      <c r="L775" t="s">
        <v>85</v>
      </c>
      <c r="M775">
        <v>1</v>
      </c>
      <c r="N775">
        <f t="shared" si="51"/>
        <v>1</v>
      </c>
      <c r="P775" s="4">
        <f t="shared" si="48"/>
        <v>3</v>
      </c>
      <c r="Q775" s="4" t="str">
        <f t="shared" si="49"/>
        <v>Late Night</v>
      </c>
      <c r="R775" s="4" t="str">
        <f t="shared" si="50"/>
        <v>Low</v>
      </c>
    </row>
    <row r="776" spans="1:18">
      <c r="A776" t="s">
        <v>1025</v>
      </c>
      <c r="B776" s="2">
        <v>46162</v>
      </c>
      <c r="C776" s="3">
        <v>0.0333333333333333</v>
      </c>
      <c r="D776" t="s">
        <v>87</v>
      </c>
      <c r="E776">
        <v>399.42</v>
      </c>
      <c r="F776" t="s">
        <v>31</v>
      </c>
      <c r="G776" t="s">
        <v>48</v>
      </c>
      <c r="H776" t="s">
        <v>8</v>
      </c>
      <c r="I776" t="s">
        <v>15</v>
      </c>
      <c r="J776" t="s">
        <v>23</v>
      </c>
      <c r="K776">
        <v>56</v>
      </c>
      <c r="L776" t="s">
        <v>49</v>
      </c>
      <c r="M776">
        <v>0</v>
      </c>
      <c r="N776">
        <f t="shared" si="51"/>
        <v>1</v>
      </c>
      <c r="P776" s="4">
        <f t="shared" si="48"/>
        <v>0</v>
      </c>
      <c r="Q776" s="4" t="str">
        <f t="shared" si="49"/>
        <v>Late Night</v>
      </c>
      <c r="R776" s="4" t="str">
        <f t="shared" si="50"/>
        <v>Low</v>
      </c>
    </row>
    <row r="777" spans="1:18">
      <c r="A777" t="s">
        <v>1026</v>
      </c>
      <c r="B777" s="2">
        <v>46162</v>
      </c>
      <c r="C777" s="3">
        <v>0.706944444444444</v>
      </c>
      <c r="D777" t="s">
        <v>336</v>
      </c>
      <c r="E777">
        <v>142.51</v>
      </c>
      <c r="F777" t="s">
        <v>31</v>
      </c>
      <c r="G777" t="s">
        <v>48</v>
      </c>
      <c r="H777" t="s">
        <v>6</v>
      </c>
      <c r="I777" t="s">
        <v>15</v>
      </c>
      <c r="J777" t="s">
        <v>19</v>
      </c>
      <c r="K777">
        <v>61</v>
      </c>
      <c r="L777" t="s">
        <v>49</v>
      </c>
      <c r="M777">
        <v>0</v>
      </c>
      <c r="N777">
        <f t="shared" si="51"/>
        <v>1</v>
      </c>
      <c r="P777" s="4">
        <f t="shared" si="48"/>
        <v>16</v>
      </c>
      <c r="Q777" s="4" t="str">
        <f t="shared" si="49"/>
        <v>Late Night</v>
      </c>
      <c r="R777" s="4" t="str">
        <f t="shared" si="50"/>
        <v>Low</v>
      </c>
    </row>
    <row r="778" spans="1:18">
      <c r="A778" t="s">
        <v>1027</v>
      </c>
      <c r="B778" s="2">
        <v>46162</v>
      </c>
      <c r="C778" s="3">
        <v>0.320138888888889</v>
      </c>
      <c r="D778" t="s">
        <v>87</v>
      </c>
      <c r="E778">
        <v>223.29</v>
      </c>
      <c r="F778" t="s">
        <v>31</v>
      </c>
      <c r="G778" t="s">
        <v>66</v>
      </c>
      <c r="H778" t="s">
        <v>4</v>
      </c>
      <c r="I778" t="s">
        <v>15</v>
      </c>
      <c r="J778" t="s">
        <v>20</v>
      </c>
      <c r="K778">
        <v>52</v>
      </c>
      <c r="L778" t="s">
        <v>49</v>
      </c>
      <c r="M778">
        <v>0</v>
      </c>
      <c r="N778">
        <f t="shared" si="51"/>
        <v>1</v>
      </c>
      <c r="P778" s="4">
        <f t="shared" si="48"/>
        <v>7</v>
      </c>
      <c r="Q778" s="4" t="str">
        <f t="shared" si="49"/>
        <v>Late Night</v>
      </c>
      <c r="R778" s="4" t="str">
        <f t="shared" si="50"/>
        <v>Low</v>
      </c>
    </row>
    <row r="779" spans="1:18">
      <c r="A779" t="s">
        <v>1028</v>
      </c>
      <c r="B779" s="2">
        <v>46163</v>
      </c>
      <c r="C779" s="3">
        <v>0.0652777777777778</v>
      </c>
      <c r="D779" t="s">
        <v>277</v>
      </c>
      <c r="E779">
        <v>330.18</v>
      </c>
      <c r="F779" t="s">
        <v>31</v>
      </c>
      <c r="G779" t="s">
        <v>59</v>
      </c>
      <c r="H779" t="s">
        <v>6</v>
      </c>
      <c r="I779" t="s">
        <v>15</v>
      </c>
      <c r="J779" t="s">
        <v>19</v>
      </c>
      <c r="K779">
        <v>40</v>
      </c>
      <c r="L779" t="s">
        <v>168</v>
      </c>
      <c r="M779">
        <v>1</v>
      </c>
      <c r="N779">
        <f t="shared" si="51"/>
        <v>1</v>
      </c>
      <c r="P779" s="4">
        <f t="shared" si="48"/>
        <v>1</v>
      </c>
      <c r="Q779" s="4" t="str">
        <f t="shared" si="49"/>
        <v>Late Night</v>
      </c>
      <c r="R779" s="4" t="str">
        <f t="shared" si="50"/>
        <v>Low</v>
      </c>
    </row>
    <row r="780" spans="1:18">
      <c r="A780" t="s">
        <v>1029</v>
      </c>
      <c r="B780" s="2">
        <v>46163</v>
      </c>
      <c r="C780" s="3">
        <v>0.325694444444444</v>
      </c>
      <c r="D780" t="s">
        <v>174</v>
      </c>
      <c r="E780">
        <v>712.3</v>
      </c>
      <c r="F780" t="s">
        <v>31</v>
      </c>
      <c r="G780" t="s">
        <v>66</v>
      </c>
      <c r="H780" t="s">
        <v>6</v>
      </c>
      <c r="I780" t="s">
        <v>15</v>
      </c>
      <c r="J780" t="s">
        <v>23</v>
      </c>
      <c r="K780">
        <v>26</v>
      </c>
      <c r="L780" t="s">
        <v>49</v>
      </c>
      <c r="M780">
        <v>0</v>
      </c>
      <c r="N780">
        <f t="shared" si="51"/>
        <v>1</v>
      </c>
      <c r="P780" s="4">
        <f t="shared" si="48"/>
        <v>7</v>
      </c>
      <c r="Q780" s="4" t="str">
        <f t="shared" si="49"/>
        <v>Late Night</v>
      </c>
      <c r="R780" s="4" t="str">
        <f t="shared" si="50"/>
        <v>Low</v>
      </c>
    </row>
    <row r="781" spans="1:18">
      <c r="A781" t="s">
        <v>1030</v>
      </c>
      <c r="B781" s="2">
        <v>46163</v>
      </c>
      <c r="C781" s="3">
        <v>0.261805555555556</v>
      </c>
      <c r="D781" t="s">
        <v>364</v>
      </c>
      <c r="E781">
        <v>95.01</v>
      </c>
      <c r="F781" t="s">
        <v>30</v>
      </c>
      <c r="G781" t="s">
        <v>48</v>
      </c>
      <c r="H781" t="s">
        <v>8</v>
      </c>
      <c r="I781" t="s">
        <v>15</v>
      </c>
      <c r="J781" t="s">
        <v>24</v>
      </c>
      <c r="K781">
        <v>19</v>
      </c>
      <c r="L781" t="s">
        <v>49</v>
      </c>
      <c r="M781">
        <v>0</v>
      </c>
      <c r="N781">
        <f t="shared" si="51"/>
        <v>1</v>
      </c>
      <c r="P781" s="4">
        <f t="shared" si="48"/>
        <v>6</v>
      </c>
      <c r="Q781" s="4" t="str">
        <f t="shared" si="49"/>
        <v>Late Night</v>
      </c>
      <c r="R781" s="4" t="str">
        <f t="shared" si="50"/>
        <v>Low</v>
      </c>
    </row>
    <row r="782" spans="1:18">
      <c r="A782" t="s">
        <v>1031</v>
      </c>
      <c r="B782" s="2">
        <v>46163</v>
      </c>
      <c r="C782" s="3">
        <v>0.0527777777777778</v>
      </c>
      <c r="D782" t="s">
        <v>783</v>
      </c>
      <c r="E782">
        <v>261.12</v>
      </c>
      <c r="F782" t="s">
        <v>31</v>
      </c>
      <c r="G782" t="s">
        <v>59</v>
      </c>
      <c r="H782" t="s">
        <v>3</v>
      </c>
      <c r="I782" t="s">
        <v>15</v>
      </c>
      <c r="J782" t="s">
        <v>20</v>
      </c>
      <c r="K782">
        <v>58</v>
      </c>
      <c r="L782" t="s">
        <v>85</v>
      </c>
      <c r="M782">
        <v>1</v>
      </c>
      <c r="N782">
        <f t="shared" si="51"/>
        <v>1</v>
      </c>
      <c r="P782" s="4">
        <f t="shared" si="48"/>
        <v>1</v>
      </c>
      <c r="Q782" s="4" t="str">
        <f t="shared" si="49"/>
        <v>Late Night</v>
      </c>
      <c r="R782" s="4" t="str">
        <f t="shared" si="50"/>
        <v>Low</v>
      </c>
    </row>
    <row r="783" spans="1:18">
      <c r="A783" t="s">
        <v>1032</v>
      </c>
      <c r="B783" s="2">
        <v>46163</v>
      </c>
      <c r="C783" s="3">
        <v>0.890972222222222</v>
      </c>
      <c r="D783" t="s">
        <v>528</v>
      </c>
      <c r="E783">
        <v>1360.66</v>
      </c>
      <c r="F783" t="s">
        <v>31</v>
      </c>
      <c r="G783" t="s">
        <v>59</v>
      </c>
      <c r="H783" t="s">
        <v>5</v>
      </c>
      <c r="I783" t="s">
        <v>15</v>
      </c>
      <c r="J783" t="s">
        <v>19</v>
      </c>
      <c r="K783">
        <v>61</v>
      </c>
      <c r="L783" t="s">
        <v>49</v>
      </c>
      <c r="M783">
        <v>0</v>
      </c>
      <c r="N783">
        <f t="shared" si="51"/>
        <v>1</v>
      </c>
      <c r="P783" s="4">
        <f t="shared" si="48"/>
        <v>21</v>
      </c>
      <c r="Q783" s="4" t="str">
        <f t="shared" si="49"/>
        <v>Late Night</v>
      </c>
      <c r="R783" s="4" t="str">
        <f t="shared" si="50"/>
        <v>Medium</v>
      </c>
    </row>
    <row r="784" spans="1:18">
      <c r="A784" t="s">
        <v>1033</v>
      </c>
      <c r="B784" s="2">
        <v>46163</v>
      </c>
      <c r="C784" s="3">
        <v>0.876388888888889</v>
      </c>
      <c r="D784" t="s">
        <v>358</v>
      </c>
      <c r="E784">
        <v>152.01</v>
      </c>
      <c r="F784" t="s">
        <v>29</v>
      </c>
      <c r="G784" t="s">
        <v>66</v>
      </c>
      <c r="H784" t="s">
        <v>3</v>
      </c>
      <c r="I784" t="s">
        <v>15</v>
      </c>
      <c r="J784" t="s">
        <v>21</v>
      </c>
      <c r="K784">
        <v>48</v>
      </c>
      <c r="L784" t="s">
        <v>49</v>
      </c>
      <c r="M784">
        <v>0</v>
      </c>
      <c r="N784">
        <f t="shared" si="51"/>
        <v>1</v>
      </c>
      <c r="P784" s="4">
        <f t="shared" si="48"/>
        <v>21</v>
      </c>
      <c r="Q784" s="4" t="str">
        <f t="shared" si="49"/>
        <v>Late Night</v>
      </c>
      <c r="R784" s="4" t="str">
        <f t="shared" si="50"/>
        <v>Low</v>
      </c>
    </row>
    <row r="785" spans="1:18">
      <c r="A785" t="s">
        <v>1034</v>
      </c>
      <c r="B785" s="2">
        <v>46164</v>
      </c>
      <c r="C785" s="3">
        <v>0.104861111111111</v>
      </c>
      <c r="D785" t="s">
        <v>139</v>
      </c>
      <c r="E785">
        <v>220.65</v>
      </c>
      <c r="F785" t="s">
        <v>28</v>
      </c>
      <c r="G785" t="s">
        <v>71</v>
      </c>
      <c r="H785" t="s">
        <v>8</v>
      </c>
      <c r="I785" t="s">
        <v>14</v>
      </c>
      <c r="J785" t="s">
        <v>19</v>
      </c>
      <c r="K785">
        <v>61</v>
      </c>
      <c r="L785" t="s">
        <v>85</v>
      </c>
      <c r="M785">
        <v>1</v>
      </c>
      <c r="N785">
        <f t="shared" si="51"/>
        <v>1</v>
      </c>
      <c r="P785" s="4">
        <f t="shared" si="48"/>
        <v>2</v>
      </c>
      <c r="Q785" s="4" t="str">
        <f t="shared" si="49"/>
        <v>Late Night</v>
      </c>
      <c r="R785" s="4" t="str">
        <f t="shared" si="50"/>
        <v>Low</v>
      </c>
    </row>
    <row r="786" spans="1:18">
      <c r="A786" t="s">
        <v>1035</v>
      </c>
      <c r="B786" s="2">
        <v>46164</v>
      </c>
      <c r="C786" s="3">
        <v>0.731944444444444</v>
      </c>
      <c r="D786" t="s">
        <v>554</v>
      </c>
      <c r="E786">
        <v>1358.63</v>
      </c>
      <c r="F786" t="s">
        <v>29</v>
      </c>
      <c r="G786" t="s">
        <v>48</v>
      </c>
      <c r="H786" t="s">
        <v>3</v>
      </c>
      <c r="I786" t="s">
        <v>15</v>
      </c>
      <c r="J786" t="s">
        <v>20</v>
      </c>
      <c r="K786">
        <v>64</v>
      </c>
      <c r="L786" t="s">
        <v>49</v>
      </c>
      <c r="M786">
        <v>0</v>
      </c>
      <c r="N786">
        <f t="shared" si="51"/>
        <v>1</v>
      </c>
      <c r="P786" s="4">
        <f t="shared" si="48"/>
        <v>17</v>
      </c>
      <c r="Q786" s="4" t="str">
        <f t="shared" si="49"/>
        <v>Late Night</v>
      </c>
      <c r="R786" s="4" t="str">
        <f t="shared" si="50"/>
        <v>Medium</v>
      </c>
    </row>
    <row r="787" spans="1:18">
      <c r="A787" t="s">
        <v>1036</v>
      </c>
      <c r="B787" s="2">
        <v>46164</v>
      </c>
      <c r="C787" s="3">
        <v>0.484027777777778</v>
      </c>
      <c r="D787" t="s">
        <v>101</v>
      </c>
      <c r="E787">
        <v>342.91</v>
      </c>
      <c r="F787" t="s">
        <v>31</v>
      </c>
      <c r="G787" t="s">
        <v>59</v>
      </c>
      <c r="H787" t="s">
        <v>7</v>
      </c>
      <c r="I787" t="s">
        <v>15</v>
      </c>
      <c r="J787" t="s">
        <v>22</v>
      </c>
      <c r="K787">
        <v>19</v>
      </c>
      <c r="L787" t="s">
        <v>49</v>
      </c>
      <c r="M787">
        <v>0</v>
      </c>
      <c r="N787">
        <f t="shared" si="51"/>
        <v>1</v>
      </c>
      <c r="P787" s="4">
        <f t="shared" si="48"/>
        <v>11</v>
      </c>
      <c r="Q787" s="4" t="str">
        <f t="shared" si="49"/>
        <v>Late Night</v>
      </c>
      <c r="R787" s="4" t="str">
        <f t="shared" si="50"/>
        <v>Low</v>
      </c>
    </row>
    <row r="788" spans="1:18">
      <c r="A788" t="s">
        <v>1037</v>
      </c>
      <c r="B788" s="2">
        <v>46164</v>
      </c>
      <c r="C788" s="3">
        <v>0.00833333333333333</v>
      </c>
      <c r="D788" t="s">
        <v>125</v>
      </c>
      <c r="E788">
        <v>41.51</v>
      </c>
      <c r="F788" t="s">
        <v>28</v>
      </c>
      <c r="G788" t="s">
        <v>48</v>
      </c>
      <c r="H788" t="s">
        <v>4</v>
      </c>
      <c r="I788" t="s">
        <v>16</v>
      </c>
      <c r="J788" t="s">
        <v>18</v>
      </c>
      <c r="K788">
        <v>49</v>
      </c>
      <c r="L788" t="s">
        <v>49</v>
      </c>
      <c r="M788">
        <v>0</v>
      </c>
      <c r="N788">
        <f t="shared" si="51"/>
        <v>1</v>
      </c>
      <c r="P788" s="4">
        <f t="shared" si="48"/>
        <v>0</v>
      </c>
      <c r="Q788" s="4" t="str">
        <f t="shared" si="49"/>
        <v>Late Night</v>
      </c>
      <c r="R788" s="4" t="str">
        <f t="shared" si="50"/>
        <v>Low</v>
      </c>
    </row>
    <row r="789" spans="1:18">
      <c r="A789" t="s">
        <v>1038</v>
      </c>
      <c r="B789" s="2">
        <v>46164</v>
      </c>
      <c r="C789" s="3">
        <v>0.913194444444444</v>
      </c>
      <c r="D789" t="s">
        <v>621</v>
      </c>
      <c r="E789">
        <v>81.82</v>
      </c>
      <c r="F789" t="s">
        <v>31</v>
      </c>
      <c r="G789" t="s">
        <v>59</v>
      </c>
      <c r="H789" t="s">
        <v>3</v>
      </c>
      <c r="I789" t="s">
        <v>15</v>
      </c>
      <c r="J789" t="s">
        <v>21</v>
      </c>
      <c r="K789">
        <v>35</v>
      </c>
      <c r="L789" t="s">
        <v>49</v>
      </c>
      <c r="M789">
        <v>0</v>
      </c>
      <c r="N789">
        <f t="shared" si="51"/>
        <v>1</v>
      </c>
      <c r="P789" s="4">
        <f t="shared" si="48"/>
        <v>21</v>
      </c>
      <c r="Q789" s="4" t="str">
        <f t="shared" si="49"/>
        <v>Late Night</v>
      </c>
      <c r="R789" s="4" t="str">
        <f t="shared" si="50"/>
        <v>Low</v>
      </c>
    </row>
    <row r="790" spans="1:18">
      <c r="A790" t="s">
        <v>1039</v>
      </c>
      <c r="B790" s="2">
        <v>46164</v>
      </c>
      <c r="C790" s="3">
        <v>0.490277777777778</v>
      </c>
      <c r="D790" t="s">
        <v>486</v>
      </c>
      <c r="E790">
        <v>361.25</v>
      </c>
      <c r="F790" t="s">
        <v>31</v>
      </c>
      <c r="G790" t="s">
        <v>48</v>
      </c>
      <c r="H790" t="s">
        <v>10</v>
      </c>
      <c r="I790" t="s">
        <v>15</v>
      </c>
      <c r="J790" t="s">
        <v>21</v>
      </c>
      <c r="K790">
        <v>30</v>
      </c>
      <c r="L790" t="s">
        <v>49</v>
      </c>
      <c r="M790">
        <v>0</v>
      </c>
      <c r="N790">
        <f t="shared" si="51"/>
        <v>1</v>
      </c>
      <c r="P790" s="4">
        <f t="shared" si="48"/>
        <v>11</v>
      </c>
      <c r="Q790" s="4" t="str">
        <f t="shared" si="49"/>
        <v>Late Night</v>
      </c>
      <c r="R790" s="4" t="str">
        <f t="shared" si="50"/>
        <v>Low</v>
      </c>
    </row>
    <row r="791" spans="1:18">
      <c r="A791" t="s">
        <v>1040</v>
      </c>
      <c r="B791" s="2">
        <v>46165</v>
      </c>
      <c r="C791" s="3">
        <v>0.183333333333333</v>
      </c>
      <c r="D791" t="s">
        <v>208</v>
      </c>
      <c r="E791">
        <v>276.72</v>
      </c>
      <c r="F791" t="s">
        <v>30</v>
      </c>
      <c r="G791" t="s">
        <v>48</v>
      </c>
      <c r="H791" t="s">
        <v>9</v>
      </c>
      <c r="I791" t="s">
        <v>15</v>
      </c>
      <c r="J791" t="s">
        <v>22</v>
      </c>
      <c r="K791">
        <v>63</v>
      </c>
      <c r="L791" t="s">
        <v>49</v>
      </c>
      <c r="M791">
        <v>0</v>
      </c>
      <c r="N791">
        <f t="shared" si="51"/>
        <v>1</v>
      </c>
      <c r="P791" s="4">
        <f t="shared" si="48"/>
        <v>4</v>
      </c>
      <c r="Q791" s="4" t="str">
        <f t="shared" si="49"/>
        <v>Late Night</v>
      </c>
      <c r="R791" s="4" t="str">
        <f t="shared" si="50"/>
        <v>Low</v>
      </c>
    </row>
    <row r="792" spans="1:18">
      <c r="A792" t="s">
        <v>1041</v>
      </c>
      <c r="B792" s="2">
        <v>46165</v>
      </c>
      <c r="C792" s="3">
        <v>0.672222222222222</v>
      </c>
      <c r="D792" t="s">
        <v>321</v>
      </c>
      <c r="E792">
        <v>213.27</v>
      </c>
      <c r="F792" t="s">
        <v>31</v>
      </c>
      <c r="G792" t="s">
        <v>54</v>
      </c>
      <c r="H792" t="s">
        <v>10</v>
      </c>
      <c r="I792" t="s">
        <v>15</v>
      </c>
      <c r="J792" t="s">
        <v>20</v>
      </c>
      <c r="K792">
        <v>22</v>
      </c>
      <c r="L792" t="s">
        <v>49</v>
      </c>
      <c r="M792">
        <v>0</v>
      </c>
      <c r="N792">
        <f t="shared" si="51"/>
        <v>1</v>
      </c>
      <c r="P792" s="4">
        <f t="shared" si="48"/>
        <v>16</v>
      </c>
      <c r="Q792" s="4" t="str">
        <f t="shared" si="49"/>
        <v>Late Night</v>
      </c>
      <c r="R792" s="4" t="str">
        <f t="shared" si="50"/>
        <v>Low</v>
      </c>
    </row>
    <row r="793" spans="1:18">
      <c r="A793" t="s">
        <v>1042</v>
      </c>
      <c r="B793" s="2">
        <v>46165</v>
      </c>
      <c r="C793" s="3">
        <v>0.627083333333333</v>
      </c>
      <c r="D793" t="s">
        <v>392</v>
      </c>
      <c r="E793">
        <v>1573.76</v>
      </c>
      <c r="F793" t="s">
        <v>28</v>
      </c>
      <c r="G793" t="s">
        <v>59</v>
      </c>
      <c r="H793" t="s">
        <v>9</v>
      </c>
      <c r="I793" t="s">
        <v>15</v>
      </c>
      <c r="J793" t="s">
        <v>18</v>
      </c>
      <c r="K793">
        <v>59</v>
      </c>
      <c r="L793" t="s">
        <v>49</v>
      </c>
      <c r="M793">
        <v>0</v>
      </c>
      <c r="N793">
        <f t="shared" si="51"/>
        <v>1</v>
      </c>
      <c r="P793" s="4">
        <f t="shared" si="48"/>
        <v>15</v>
      </c>
      <c r="Q793" s="4" t="str">
        <f t="shared" si="49"/>
        <v>Late Night</v>
      </c>
      <c r="R793" s="4" t="str">
        <f t="shared" si="50"/>
        <v>Medium</v>
      </c>
    </row>
    <row r="794" spans="1:18">
      <c r="A794" t="s">
        <v>1043</v>
      </c>
      <c r="B794" s="2">
        <v>46165</v>
      </c>
      <c r="C794" s="3">
        <v>0.592361111111111</v>
      </c>
      <c r="D794" t="s">
        <v>158</v>
      </c>
      <c r="E794">
        <v>97.76</v>
      </c>
      <c r="F794" t="s">
        <v>28</v>
      </c>
      <c r="G794" t="s">
        <v>48</v>
      </c>
      <c r="H794" t="s">
        <v>6</v>
      </c>
      <c r="I794" t="s">
        <v>15</v>
      </c>
      <c r="J794" t="s">
        <v>21</v>
      </c>
      <c r="K794">
        <v>61</v>
      </c>
      <c r="L794" t="s">
        <v>49</v>
      </c>
      <c r="M794">
        <v>0</v>
      </c>
      <c r="N794">
        <f t="shared" si="51"/>
        <v>1</v>
      </c>
      <c r="P794" s="4">
        <f t="shared" si="48"/>
        <v>14</v>
      </c>
      <c r="Q794" s="4" t="str">
        <f t="shared" si="49"/>
        <v>Late Night</v>
      </c>
      <c r="R794" s="4" t="str">
        <f t="shared" si="50"/>
        <v>Low</v>
      </c>
    </row>
    <row r="795" spans="1:18">
      <c r="A795" t="s">
        <v>1044</v>
      </c>
      <c r="B795" s="2">
        <v>46165</v>
      </c>
      <c r="C795" s="3">
        <v>0.941666666666667</v>
      </c>
      <c r="D795" t="s">
        <v>484</v>
      </c>
      <c r="E795">
        <v>168.27</v>
      </c>
      <c r="F795" t="s">
        <v>31</v>
      </c>
      <c r="G795" t="s">
        <v>59</v>
      </c>
      <c r="H795" t="s">
        <v>7</v>
      </c>
      <c r="I795" t="s">
        <v>15</v>
      </c>
      <c r="J795" t="s">
        <v>18</v>
      </c>
      <c r="K795">
        <v>27</v>
      </c>
      <c r="L795" t="s">
        <v>49</v>
      </c>
      <c r="M795">
        <v>0</v>
      </c>
      <c r="N795">
        <f t="shared" si="51"/>
        <v>1</v>
      </c>
      <c r="P795" s="4">
        <f t="shared" si="48"/>
        <v>22</v>
      </c>
      <c r="Q795" s="4" t="str">
        <f t="shared" si="49"/>
        <v>Late Night</v>
      </c>
      <c r="R795" s="4" t="str">
        <f t="shared" si="50"/>
        <v>Low</v>
      </c>
    </row>
    <row r="796" spans="1:18">
      <c r="A796" t="s">
        <v>1045</v>
      </c>
      <c r="B796" s="2">
        <v>46166</v>
      </c>
      <c r="C796" s="3">
        <v>0.60625</v>
      </c>
      <c r="D796" t="s">
        <v>813</v>
      </c>
      <c r="E796">
        <v>25.45</v>
      </c>
      <c r="F796" t="s">
        <v>30</v>
      </c>
      <c r="G796" t="s">
        <v>54</v>
      </c>
      <c r="H796" t="s">
        <v>4</v>
      </c>
      <c r="I796" t="s">
        <v>14</v>
      </c>
      <c r="J796" t="s">
        <v>21</v>
      </c>
      <c r="K796">
        <v>60</v>
      </c>
      <c r="L796" t="s">
        <v>49</v>
      </c>
      <c r="M796">
        <v>0</v>
      </c>
      <c r="N796">
        <f t="shared" si="51"/>
        <v>1</v>
      </c>
      <c r="P796" s="4">
        <f t="shared" si="48"/>
        <v>14</v>
      </c>
      <c r="Q796" s="4" t="str">
        <f t="shared" si="49"/>
        <v>Late Night</v>
      </c>
      <c r="R796" s="4" t="str">
        <f t="shared" si="50"/>
        <v>Low</v>
      </c>
    </row>
    <row r="797" spans="1:18">
      <c r="A797" t="s">
        <v>1046</v>
      </c>
      <c r="B797" s="2">
        <v>46166</v>
      </c>
      <c r="C797" s="3">
        <v>0.173611111111111</v>
      </c>
      <c r="D797" t="s">
        <v>324</v>
      </c>
      <c r="E797">
        <v>578.63</v>
      </c>
      <c r="F797" t="s">
        <v>31</v>
      </c>
      <c r="G797" t="s">
        <v>48</v>
      </c>
      <c r="H797" t="s">
        <v>10</v>
      </c>
      <c r="I797" t="s">
        <v>15</v>
      </c>
      <c r="J797" t="s">
        <v>20</v>
      </c>
      <c r="K797">
        <v>42</v>
      </c>
      <c r="L797" t="s">
        <v>49</v>
      </c>
      <c r="M797">
        <v>0</v>
      </c>
      <c r="N797">
        <f t="shared" si="51"/>
        <v>1</v>
      </c>
      <c r="P797" s="4">
        <f t="shared" si="48"/>
        <v>4</v>
      </c>
      <c r="Q797" s="4" t="str">
        <f t="shared" si="49"/>
        <v>Late Night</v>
      </c>
      <c r="R797" s="4" t="str">
        <f t="shared" si="50"/>
        <v>Low</v>
      </c>
    </row>
    <row r="798" spans="1:18">
      <c r="A798" t="s">
        <v>1047</v>
      </c>
      <c r="B798" s="2">
        <v>46166</v>
      </c>
      <c r="C798" s="3">
        <v>0.861111111111111</v>
      </c>
      <c r="D798" t="s">
        <v>321</v>
      </c>
      <c r="E798">
        <v>81.54</v>
      </c>
      <c r="F798" t="s">
        <v>29</v>
      </c>
      <c r="G798" t="s">
        <v>66</v>
      </c>
      <c r="H798" t="s">
        <v>4</v>
      </c>
      <c r="I798" t="s">
        <v>15</v>
      </c>
      <c r="J798" t="s">
        <v>24</v>
      </c>
      <c r="K798">
        <v>51</v>
      </c>
      <c r="L798" t="s">
        <v>49</v>
      </c>
      <c r="M798">
        <v>0</v>
      </c>
      <c r="N798">
        <f t="shared" si="51"/>
        <v>1</v>
      </c>
      <c r="P798" s="4">
        <f t="shared" si="48"/>
        <v>20</v>
      </c>
      <c r="Q798" s="4" t="str">
        <f t="shared" si="49"/>
        <v>Late Night</v>
      </c>
      <c r="R798" s="4" t="str">
        <f t="shared" si="50"/>
        <v>Low</v>
      </c>
    </row>
    <row r="799" spans="1:18">
      <c r="A799" t="s">
        <v>1048</v>
      </c>
      <c r="B799" s="2">
        <v>46166</v>
      </c>
      <c r="C799" s="3">
        <v>0.579861111111111</v>
      </c>
      <c r="D799" t="s">
        <v>368</v>
      </c>
      <c r="E799">
        <v>521.72</v>
      </c>
      <c r="F799" t="s">
        <v>32</v>
      </c>
      <c r="G799" t="s">
        <v>48</v>
      </c>
      <c r="H799" t="s">
        <v>10</v>
      </c>
      <c r="I799" t="s">
        <v>14</v>
      </c>
      <c r="J799" t="s">
        <v>21</v>
      </c>
      <c r="K799">
        <v>54</v>
      </c>
      <c r="L799" t="s">
        <v>49</v>
      </c>
      <c r="M799">
        <v>0</v>
      </c>
      <c r="N799">
        <f t="shared" si="51"/>
        <v>1</v>
      </c>
      <c r="P799" s="4">
        <f t="shared" si="48"/>
        <v>13</v>
      </c>
      <c r="Q799" s="4" t="str">
        <f t="shared" si="49"/>
        <v>Late Night</v>
      </c>
      <c r="R799" s="4" t="str">
        <f t="shared" si="50"/>
        <v>Low</v>
      </c>
    </row>
    <row r="800" spans="1:18">
      <c r="A800" t="s">
        <v>1049</v>
      </c>
      <c r="B800" s="2">
        <v>46166</v>
      </c>
      <c r="C800" s="3">
        <v>0.0430555555555556</v>
      </c>
      <c r="D800" t="s">
        <v>51</v>
      </c>
      <c r="E800">
        <v>469.67</v>
      </c>
      <c r="F800" t="s">
        <v>28</v>
      </c>
      <c r="G800" t="s">
        <v>54</v>
      </c>
      <c r="H800" t="s">
        <v>6</v>
      </c>
      <c r="I800" t="s">
        <v>15</v>
      </c>
      <c r="J800" t="s">
        <v>24</v>
      </c>
      <c r="K800">
        <v>47</v>
      </c>
      <c r="L800" t="s">
        <v>49</v>
      </c>
      <c r="M800">
        <v>0</v>
      </c>
      <c r="N800">
        <f t="shared" si="51"/>
        <v>1</v>
      </c>
      <c r="P800" s="4">
        <f t="shared" si="48"/>
        <v>1</v>
      </c>
      <c r="Q800" s="4" t="str">
        <f t="shared" si="49"/>
        <v>Late Night</v>
      </c>
      <c r="R800" s="4" t="str">
        <f t="shared" si="50"/>
        <v>Low</v>
      </c>
    </row>
    <row r="801" spans="1:18">
      <c r="A801" t="s">
        <v>1050</v>
      </c>
      <c r="B801" s="2">
        <v>46166</v>
      </c>
      <c r="C801" s="3">
        <v>0.456944444444444</v>
      </c>
      <c r="D801" t="s">
        <v>590</v>
      </c>
      <c r="E801">
        <v>1899.03</v>
      </c>
      <c r="F801" t="s">
        <v>32</v>
      </c>
      <c r="G801" t="s">
        <v>59</v>
      </c>
      <c r="H801" t="s">
        <v>9</v>
      </c>
      <c r="I801" t="s">
        <v>14</v>
      </c>
      <c r="J801" t="s">
        <v>21</v>
      </c>
      <c r="K801">
        <v>24</v>
      </c>
      <c r="L801" t="s">
        <v>168</v>
      </c>
      <c r="M801">
        <v>1</v>
      </c>
      <c r="N801">
        <f t="shared" si="51"/>
        <v>1</v>
      </c>
      <c r="P801" s="4">
        <f t="shared" si="48"/>
        <v>10</v>
      </c>
      <c r="Q801" s="4" t="str">
        <f t="shared" si="49"/>
        <v>Late Night</v>
      </c>
      <c r="R801" s="4" t="str">
        <f t="shared" si="50"/>
        <v>Medium</v>
      </c>
    </row>
    <row r="802" spans="1:18">
      <c r="A802" t="s">
        <v>1051</v>
      </c>
      <c r="B802" s="2">
        <v>46167</v>
      </c>
      <c r="C802" s="3">
        <v>0.76875</v>
      </c>
      <c r="D802" t="s">
        <v>131</v>
      </c>
      <c r="E802">
        <v>346.98</v>
      </c>
      <c r="F802" t="s">
        <v>31</v>
      </c>
      <c r="G802" t="s">
        <v>48</v>
      </c>
      <c r="H802" t="s">
        <v>5</v>
      </c>
      <c r="I802" t="s">
        <v>15</v>
      </c>
      <c r="J802" t="s">
        <v>23</v>
      </c>
      <c r="K802">
        <v>23</v>
      </c>
      <c r="L802" t="s">
        <v>49</v>
      </c>
      <c r="M802">
        <v>0</v>
      </c>
      <c r="N802">
        <f t="shared" si="51"/>
        <v>1</v>
      </c>
      <c r="P802" s="4">
        <f t="shared" si="48"/>
        <v>18</v>
      </c>
      <c r="Q802" s="4" t="str">
        <f t="shared" si="49"/>
        <v>Late Night</v>
      </c>
      <c r="R802" s="4" t="str">
        <f t="shared" si="50"/>
        <v>Low</v>
      </c>
    </row>
    <row r="803" spans="1:18">
      <c r="A803" t="s">
        <v>1052</v>
      </c>
      <c r="B803" s="2">
        <v>46167</v>
      </c>
      <c r="C803" s="3">
        <v>0.269444444444444</v>
      </c>
      <c r="D803" t="s">
        <v>517</v>
      </c>
      <c r="E803">
        <v>126.97</v>
      </c>
      <c r="F803" t="s">
        <v>28</v>
      </c>
      <c r="G803" t="s">
        <v>48</v>
      </c>
      <c r="H803" t="s">
        <v>7</v>
      </c>
      <c r="I803" t="s">
        <v>14</v>
      </c>
      <c r="J803" t="s">
        <v>20</v>
      </c>
      <c r="K803">
        <v>20</v>
      </c>
      <c r="L803" t="s">
        <v>49</v>
      </c>
      <c r="M803">
        <v>0</v>
      </c>
      <c r="N803">
        <f t="shared" si="51"/>
        <v>1</v>
      </c>
      <c r="P803" s="4">
        <f t="shared" si="48"/>
        <v>6</v>
      </c>
      <c r="Q803" s="4" t="str">
        <f t="shared" si="49"/>
        <v>Late Night</v>
      </c>
      <c r="R803" s="4" t="str">
        <f t="shared" si="50"/>
        <v>Low</v>
      </c>
    </row>
    <row r="804" spans="1:18">
      <c r="A804" t="s">
        <v>1053</v>
      </c>
      <c r="B804" s="2">
        <v>46167</v>
      </c>
      <c r="C804" s="3">
        <v>0.213888888888889</v>
      </c>
      <c r="D804" t="s">
        <v>494</v>
      </c>
      <c r="E804">
        <v>285.32</v>
      </c>
      <c r="F804" t="s">
        <v>31</v>
      </c>
      <c r="G804" t="s">
        <v>54</v>
      </c>
      <c r="H804" t="s">
        <v>10</v>
      </c>
      <c r="I804" t="s">
        <v>15</v>
      </c>
      <c r="J804" t="s">
        <v>22</v>
      </c>
      <c r="K804">
        <v>30</v>
      </c>
      <c r="L804" t="s">
        <v>49</v>
      </c>
      <c r="M804">
        <v>0</v>
      </c>
      <c r="N804">
        <f t="shared" si="51"/>
        <v>1</v>
      </c>
      <c r="P804" s="4">
        <f t="shared" si="48"/>
        <v>5</v>
      </c>
      <c r="Q804" s="4" t="str">
        <f t="shared" si="49"/>
        <v>Late Night</v>
      </c>
      <c r="R804" s="4" t="str">
        <f t="shared" si="50"/>
        <v>Low</v>
      </c>
    </row>
    <row r="805" spans="1:18">
      <c r="A805" t="s">
        <v>1054</v>
      </c>
      <c r="B805" s="2">
        <v>46167</v>
      </c>
      <c r="C805" s="3">
        <v>0.0430555555555556</v>
      </c>
      <c r="D805" t="s">
        <v>141</v>
      </c>
      <c r="E805">
        <v>84.84</v>
      </c>
      <c r="F805" t="s">
        <v>29</v>
      </c>
      <c r="G805" t="s">
        <v>71</v>
      </c>
      <c r="H805" t="s">
        <v>10</v>
      </c>
      <c r="I805" t="s">
        <v>14</v>
      </c>
      <c r="J805" t="s">
        <v>24</v>
      </c>
      <c r="K805">
        <v>20</v>
      </c>
      <c r="L805" t="s">
        <v>85</v>
      </c>
      <c r="M805">
        <v>1</v>
      </c>
      <c r="N805">
        <f t="shared" si="51"/>
        <v>1</v>
      </c>
      <c r="P805" s="4">
        <f t="shared" si="48"/>
        <v>1</v>
      </c>
      <c r="Q805" s="4" t="str">
        <f t="shared" si="49"/>
        <v>Late Night</v>
      </c>
      <c r="R805" s="4" t="str">
        <f t="shared" si="50"/>
        <v>Low</v>
      </c>
    </row>
    <row r="806" spans="1:18">
      <c r="A806" t="s">
        <v>1055</v>
      </c>
      <c r="B806" s="2">
        <v>46167</v>
      </c>
      <c r="C806" s="3">
        <v>0.225</v>
      </c>
      <c r="D806" t="s">
        <v>651</v>
      </c>
      <c r="E806">
        <v>249.43</v>
      </c>
      <c r="F806" t="s">
        <v>32</v>
      </c>
      <c r="G806" t="s">
        <v>59</v>
      </c>
      <c r="H806" t="s">
        <v>6</v>
      </c>
      <c r="I806" t="s">
        <v>14</v>
      </c>
      <c r="J806" t="s">
        <v>22</v>
      </c>
      <c r="K806">
        <v>43</v>
      </c>
      <c r="L806" t="s">
        <v>168</v>
      </c>
      <c r="M806">
        <v>1</v>
      </c>
      <c r="N806">
        <f t="shared" si="51"/>
        <v>1</v>
      </c>
      <c r="P806" s="4">
        <f t="shared" si="48"/>
        <v>5</v>
      </c>
      <c r="Q806" s="4" t="str">
        <f t="shared" si="49"/>
        <v>Late Night</v>
      </c>
      <c r="R806" s="4" t="str">
        <f t="shared" si="50"/>
        <v>Low</v>
      </c>
    </row>
    <row r="807" spans="1:18">
      <c r="A807" t="s">
        <v>1056</v>
      </c>
      <c r="B807" s="2">
        <v>46168</v>
      </c>
      <c r="C807" s="3">
        <v>0.73125</v>
      </c>
      <c r="D807" t="s">
        <v>590</v>
      </c>
      <c r="E807">
        <v>148.28</v>
      </c>
      <c r="F807" t="s">
        <v>31</v>
      </c>
      <c r="G807" t="s">
        <v>59</v>
      </c>
      <c r="H807" t="s">
        <v>7</v>
      </c>
      <c r="I807" t="s">
        <v>15</v>
      </c>
      <c r="J807" t="s">
        <v>20</v>
      </c>
      <c r="K807">
        <v>41</v>
      </c>
      <c r="L807" t="s">
        <v>49</v>
      </c>
      <c r="M807">
        <v>0</v>
      </c>
      <c r="N807">
        <f t="shared" si="51"/>
        <v>1</v>
      </c>
      <c r="P807" s="4">
        <f t="shared" si="48"/>
        <v>17</v>
      </c>
      <c r="Q807" s="4" t="str">
        <f t="shared" si="49"/>
        <v>Late Night</v>
      </c>
      <c r="R807" s="4" t="str">
        <f t="shared" si="50"/>
        <v>Low</v>
      </c>
    </row>
    <row r="808" spans="1:18">
      <c r="A808" t="s">
        <v>1057</v>
      </c>
      <c r="B808" s="2">
        <v>46168</v>
      </c>
      <c r="C808" s="3">
        <v>0.0493055555555556</v>
      </c>
      <c r="D808" t="s">
        <v>186</v>
      </c>
      <c r="E808">
        <v>168.96</v>
      </c>
      <c r="F808" t="s">
        <v>29</v>
      </c>
      <c r="G808" t="s">
        <v>59</v>
      </c>
      <c r="H808" t="s">
        <v>9</v>
      </c>
      <c r="I808" t="s">
        <v>15</v>
      </c>
      <c r="J808" t="s">
        <v>19</v>
      </c>
      <c r="K808">
        <v>23</v>
      </c>
      <c r="L808" t="s">
        <v>168</v>
      </c>
      <c r="M808">
        <v>1</v>
      </c>
      <c r="N808">
        <f t="shared" si="51"/>
        <v>1</v>
      </c>
      <c r="P808" s="4">
        <f t="shared" si="48"/>
        <v>1</v>
      </c>
      <c r="Q808" s="4" t="str">
        <f t="shared" si="49"/>
        <v>Late Night</v>
      </c>
      <c r="R808" s="4" t="str">
        <f t="shared" si="50"/>
        <v>Low</v>
      </c>
    </row>
    <row r="809" spans="1:18">
      <c r="A809" t="s">
        <v>1058</v>
      </c>
      <c r="B809" s="2">
        <v>46168</v>
      </c>
      <c r="C809" s="3">
        <v>0.736805555555556</v>
      </c>
      <c r="D809" t="s">
        <v>342</v>
      </c>
      <c r="E809">
        <v>73.82</v>
      </c>
      <c r="F809" t="s">
        <v>31</v>
      </c>
      <c r="G809" t="s">
        <v>48</v>
      </c>
      <c r="H809" t="s">
        <v>9</v>
      </c>
      <c r="I809" t="s">
        <v>15</v>
      </c>
      <c r="J809" t="s">
        <v>22</v>
      </c>
      <c r="K809">
        <v>60</v>
      </c>
      <c r="L809" t="s">
        <v>49</v>
      </c>
      <c r="M809">
        <v>0</v>
      </c>
      <c r="N809">
        <f t="shared" si="51"/>
        <v>1</v>
      </c>
      <c r="P809" s="4">
        <f t="shared" si="48"/>
        <v>17</v>
      </c>
      <c r="Q809" s="4" t="str">
        <f t="shared" si="49"/>
        <v>Late Night</v>
      </c>
      <c r="R809" s="4" t="str">
        <f t="shared" si="50"/>
        <v>Low</v>
      </c>
    </row>
    <row r="810" spans="1:18">
      <c r="A810" t="s">
        <v>1059</v>
      </c>
      <c r="B810" s="2">
        <v>46168</v>
      </c>
      <c r="C810" s="3">
        <v>0.588888888888889</v>
      </c>
      <c r="D810" t="s">
        <v>368</v>
      </c>
      <c r="E810">
        <v>244.8</v>
      </c>
      <c r="F810" t="s">
        <v>28</v>
      </c>
      <c r="G810" t="s">
        <v>54</v>
      </c>
      <c r="H810" t="s">
        <v>10</v>
      </c>
      <c r="I810" t="s">
        <v>15</v>
      </c>
      <c r="J810" t="s">
        <v>20</v>
      </c>
      <c r="K810">
        <v>59</v>
      </c>
      <c r="L810" t="s">
        <v>49</v>
      </c>
      <c r="M810">
        <v>0</v>
      </c>
      <c r="N810">
        <f t="shared" si="51"/>
        <v>1</v>
      </c>
      <c r="P810" s="4">
        <f t="shared" si="48"/>
        <v>14</v>
      </c>
      <c r="Q810" s="4" t="str">
        <f t="shared" si="49"/>
        <v>Late Night</v>
      </c>
      <c r="R810" s="4" t="str">
        <f t="shared" si="50"/>
        <v>Low</v>
      </c>
    </row>
    <row r="811" spans="1:18">
      <c r="A811" t="s">
        <v>1060</v>
      </c>
      <c r="B811" s="2">
        <v>46168</v>
      </c>
      <c r="C811" s="3">
        <v>0.759722222222222</v>
      </c>
      <c r="D811" t="s">
        <v>472</v>
      </c>
      <c r="E811">
        <v>413.32</v>
      </c>
      <c r="F811" t="s">
        <v>28</v>
      </c>
      <c r="G811" t="s">
        <v>66</v>
      </c>
      <c r="H811" t="s">
        <v>5</v>
      </c>
      <c r="I811" t="s">
        <v>15</v>
      </c>
      <c r="J811" t="s">
        <v>22</v>
      </c>
      <c r="K811">
        <v>29</v>
      </c>
      <c r="L811" t="s">
        <v>49</v>
      </c>
      <c r="M811">
        <v>0</v>
      </c>
      <c r="N811">
        <f t="shared" si="51"/>
        <v>1</v>
      </c>
      <c r="P811" s="4">
        <f t="shared" si="48"/>
        <v>18</v>
      </c>
      <c r="Q811" s="4" t="str">
        <f t="shared" si="49"/>
        <v>Late Night</v>
      </c>
      <c r="R811" s="4" t="str">
        <f t="shared" si="50"/>
        <v>Low</v>
      </c>
    </row>
    <row r="812" spans="1:18">
      <c r="A812" t="s">
        <v>1061</v>
      </c>
      <c r="B812" s="2">
        <v>46168</v>
      </c>
      <c r="C812" s="3">
        <v>0.06875</v>
      </c>
      <c r="D812" t="s">
        <v>349</v>
      </c>
      <c r="E812">
        <v>34.74</v>
      </c>
      <c r="F812" t="s">
        <v>32</v>
      </c>
      <c r="G812" t="s">
        <v>48</v>
      </c>
      <c r="H812" t="s">
        <v>5</v>
      </c>
      <c r="I812" t="s">
        <v>15</v>
      </c>
      <c r="J812" t="s">
        <v>24</v>
      </c>
      <c r="K812">
        <v>53</v>
      </c>
      <c r="L812" t="s">
        <v>85</v>
      </c>
      <c r="M812">
        <v>1</v>
      </c>
      <c r="N812">
        <f t="shared" si="51"/>
        <v>1</v>
      </c>
      <c r="P812" s="4">
        <f t="shared" si="48"/>
        <v>1</v>
      </c>
      <c r="Q812" s="4" t="str">
        <f t="shared" si="49"/>
        <v>Late Night</v>
      </c>
      <c r="R812" s="4" t="str">
        <f t="shared" si="50"/>
        <v>Low</v>
      </c>
    </row>
    <row r="813" spans="1:18">
      <c r="A813" t="s">
        <v>1062</v>
      </c>
      <c r="B813" s="2">
        <v>46169</v>
      </c>
      <c r="C813" s="3">
        <v>0.808333333333333</v>
      </c>
      <c r="D813" t="s">
        <v>443</v>
      </c>
      <c r="E813">
        <v>91.05</v>
      </c>
      <c r="F813" t="s">
        <v>29</v>
      </c>
      <c r="G813" t="s">
        <v>48</v>
      </c>
      <c r="H813" t="s">
        <v>4</v>
      </c>
      <c r="I813" t="s">
        <v>15</v>
      </c>
      <c r="J813" t="s">
        <v>23</v>
      </c>
      <c r="K813">
        <v>19</v>
      </c>
      <c r="L813" t="s">
        <v>49</v>
      </c>
      <c r="M813">
        <v>0</v>
      </c>
      <c r="N813">
        <f t="shared" si="51"/>
        <v>1</v>
      </c>
      <c r="P813" s="4">
        <f t="shared" si="48"/>
        <v>19</v>
      </c>
      <c r="Q813" s="4" t="str">
        <f t="shared" si="49"/>
        <v>Late Night</v>
      </c>
      <c r="R813" s="4" t="str">
        <f t="shared" si="50"/>
        <v>Low</v>
      </c>
    </row>
    <row r="814" spans="1:18">
      <c r="A814" t="s">
        <v>1063</v>
      </c>
      <c r="B814" s="2">
        <v>46169</v>
      </c>
      <c r="C814" s="3">
        <v>0.211111111111111</v>
      </c>
      <c r="D814" t="s">
        <v>219</v>
      </c>
      <c r="E814">
        <v>214.44</v>
      </c>
      <c r="F814" t="s">
        <v>31</v>
      </c>
      <c r="G814" t="s">
        <v>48</v>
      </c>
      <c r="H814" t="s">
        <v>7</v>
      </c>
      <c r="I814" t="s">
        <v>15</v>
      </c>
      <c r="J814" t="s">
        <v>22</v>
      </c>
      <c r="K814">
        <v>28</v>
      </c>
      <c r="L814" t="s">
        <v>49</v>
      </c>
      <c r="M814">
        <v>0</v>
      </c>
      <c r="N814">
        <f t="shared" si="51"/>
        <v>1</v>
      </c>
      <c r="P814" s="4">
        <f t="shared" si="48"/>
        <v>5</v>
      </c>
      <c r="Q814" s="4" t="str">
        <f t="shared" si="49"/>
        <v>Late Night</v>
      </c>
      <c r="R814" s="4" t="str">
        <f t="shared" si="50"/>
        <v>Low</v>
      </c>
    </row>
    <row r="815" spans="1:18">
      <c r="A815" t="s">
        <v>1064</v>
      </c>
      <c r="B815" s="2">
        <v>46169</v>
      </c>
      <c r="C815" s="3">
        <v>0.00694444444444444</v>
      </c>
      <c r="D815" t="s">
        <v>630</v>
      </c>
      <c r="E815">
        <v>20</v>
      </c>
      <c r="F815" t="s">
        <v>31</v>
      </c>
      <c r="G815" t="s">
        <v>54</v>
      </c>
      <c r="H815" t="s">
        <v>7</v>
      </c>
      <c r="I815" t="s">
        <v>15</v>
      </c>
      <c r="J815" t="s">
        <v>24</v>
      </c>
      <c r="K815">
        <v>56</v>
      </c>
      <c r="L815" t="s">
        <v>49</v>
      </c>
      <c r="M815">
        <v>0</v>
      </c>
      <c r="N815">
        <f t="shared" si="51"/>
        <v>1</v>
      </c>
      <c r="P815" s="4">
        <f t="shared" si="48"/>
        <v>0</v>
      </c>
      <c r="Q815" s="4" t="str">
        <f t="shared" si="49"/>
        <v>Late Night</v>
      </c>
      <c r="R815" s="4" t="str">
        <f t="shared" si="50"/>
        <v>Low</v>
      </c>
    </row>
    <row r="816" spans="1:18">
      <c r="A816" t="s">
        <v>1065</v>
      </c>
      <c r="B816" s="2">
        <v>46169</v>
      </c>
      <c r="C816" s="3">
        <v>0.998611111111111</v>
      </c>
      <c r="D816" t="s">
        <v>462</v>
      </c>
      <c r="E816">
        <v>1033.04</v>
      </c>
      <c r="F816" t="s">
        <v>31</v>
      </c>
      <c r="G816" t="s">
        <v>71</v>
      </c>
      <c r="H816" t="s">
        <v>9</v>
      </c>
      <c r="I816" t="s">
        <v>15</v>
      </c>
      <c r="J816" t="s">
        <v>21</v>
      </c>
      <c r="K816">
        <v>51</v>
      </c>
      <c r="L816" t="s">
        <v>49</v>
      </c>
      <c r="M816">
        <v>0</v>
      </c>
      <c r="N816">
        <f t="shared" si="51"/>
        <v>1</v>
      </c>
      <c r="P816" s="4">
        <f t="shared" si="48"/>
        <v>23</v>
      </c>
      <c r="Q816" s="4" t="str">
        <f t="shared" si="49"/>
        <v>Late Night</v>
      </c>
      <c r="R816" s="4" t="str">
        <f t="shared" si="50"/>
        <v>Medium</v>
      </c>
    </row>
    <row r="817" spans="1:18">
      <c r="A817" t="s">
        <v>1066</v>
      </c>
      <c r="B817" s="2">
        <v>46169</v>
      </c>
      <c r="C817" s="3">
        <v>0.60625</v>
      </c>
      <c r="D817" t="s">
        <v>249</v>
      </c>
      <c r="E817">
        <v>89.02</v>
      </c>
      <c r="F817" t="s">
        <v>31</v>
      </c>
      <c r="G817" t="s">
        <v>48</v>
      </c>
      <c r="H817" t="s">
        <v>4</v>
      </c>
      <c r="I817" t="s">
        <v>15</v>
      </c>
      <c r="J817" t="s">
        <v>20</v>
      </c>
      <c r="K817">
        <v>43</v>
      </c>
      <c r="L817" t="s">
        <v>49</v>
      </c>
      <c r="M817">
        <v>0</v>
      </c>
      <c r="N817">
        <f t="shared" si="51"/>
        <v>1</v>
      </c>
      <c r="P817" s="4">
        <f t="shared" si="48"/>
        <v>14</v>
      </c>
      <c r="Q817" s="4" t="str">
        <f t="shared" si="49"/>
        <v>Late Night</v>
      </c>
      <c r="R817" s="4" t="str">
        <f t="shared" si="50"/>
        <v>Low</v>
      </c>
    </row>
    <row r="818" spans="1:18">
      <c r="A818" t="s">
        <v>1067</v>
      </c>
      <c r="B818" s="2">
        <v>46170</v>
      </c>
      <c r="C818" s="3">
        <v>0.932638888888889</v>
      </c>
      <c r="D818" t="s">
        <v>201</v>
      </c>
      <c r="E818">
        <v>70.95</v>
      </c>
      <c r="F818" t="s">
        <v>31</v>
      </c>
      <c r="G818" t="s">
        <v>54</v>
      </c>
      <c r="H818" t="s">
        <v>6</v>
      </c>
      <c r="I818" t="s">
        <v>15</v>
      </c>
      <c r="J818" t="s">
        <v>18</v>
      </c>
      <c r="K818">
        <v>35</v>
      </c>
      <c r="L818" t="s">
        <v>159</v>
      </c>
      <c r="M818">
        <v>0</v>
      </c>
      <c r="N818">
        <f t="shared" si="51"/>
        <v>1</v>
      </c>
      <c r="P818" s="4">
        <f t="shared" si="48"/>
        <v>22</v>
      </c>
      <c r="Q818" s="4" t="str">
        <f t="shared" si="49"/>
        <v>Late Night</v>
      </c>
      <c r="R818" s="4" t="str">
        <f t="shared" si="50"/>
        <v>Low</v>
      </c>
    </row>
    <row r="819" spans="1:18">
      <c r="A819" t="s">
        <v>1068</v>
      </c>
      <c r="B819" s="2">
        <v>46170</v>
      </c>
      <c r="C819" s="3">
        <v>0.415972222222222</v>
      </c>
      <c r="D819" t="s">
        <v>464</v>
      </c>
      <c r="E819">
        <v>147.33</v>
      </c>
      <c r="F819" t="s">
        <v>30</v>
      </c>
      <c r="G819" t="s">
        <v>48</v>
      </c>
      <c r="H819" t="s">
        <v>7</v>
      </c>
      <c r="I819" t="s">
        <v>15</v>
      </c>
      <c r="J819" t="s">
        <v>19</v>
      </c>
      <c r="K819">
        <v>38</v>
      </c>
      <c r="L819" t="s">
        <v>49</v>
      </c>
      <c r="M819">
        <v>0</v>
      </c>
      <c r="N819">
        <f t="shared" si="51"/>
        <v>1</v>
      </c>
      <c r="P819" s="4">
        <f t="shared" si="48"/>
        <v>9</v>
      </c>
      <c r="Q819" s="4" t="str">
        <f t="shared" si="49"/>
        <v>Late Night</v>
      </c>
      <c r="R819" s="4" t="str">
        <f t="shared" si="50"/>
        <v>Low</v>
      </c>
    </row>
    <row r="820" spans="1:18">
      <c r="A820" t="s">
        <v>1069</v>
      </c>
      <c r="B820" s="2">
        <v>46170</v>
      </c>
      <c r="C820" s="3">
        <v>0.759722222222222</v>
      </c>
      <c r="D820" t="s">
        <v>70</v>
      </c>
      <c r="E820">
        <v>207.97</v>
      </c>
      <c r="F820" t="s">
        <v>28</v>
      </c>
      <c r="G820" t="s">
        <v>71</v>
      </c>
      <c r="H820" t="s">
        <v>4</v>
      </c>
      <c r="I820" t="s">
        <v>15</v>
      </c>
      <c r="J820" t="s">
        <v>18</v>
      </c>
      <c r="K820">
        <v>53</v>
      </c>
      <c r="L820" t="s">
        <v>49</v>
      </c>
      <c r="M820">
        <v>0</v>
      </c>
      <c r="N820">
        <f t="shared" si="51"/>
        <v>1</v>
      </c>
      <c r="P820" s="4">
        <f t="shared" si="48"/>
        <v>18</v>
      </c>
      <c r="Q820" s="4" t="str">
        <f t="shared" si="49"/>
        <v>Late Night</v>
      </c>
      <c r="R820" s="4" t="str">
        <f t="shared" si="50"/>
        <v>Low</v>
      </c>
    </row>
    <row r="821" spans="1:18">
      <c r="A821" t="s">
        <v>1070</v>
      </c>
      <c r="B821" s="2">
        <v>46170</v>
      </c>
      <c r="C821" s="3">
        <v>0.692361111111111</v>
      </c>
      <c r="D821" t="s">
        <v>477</v>
      </c>
      <c r="E821">
        <v>85.07</v>
      </c>
      <c r="F821" t="s">
        <v>28</v>
      </c>
      <c r="G821" t="s">
        <v>48</v>
      </c>
      <c r="H821" t="s">
        <v>4</v>
      </c>
      <c r="I821" t="s">
        <v>15</v>
      </c>
      <c r="J821" t="s">
        <v>20</v>
      </c>
      <c r="K821">
        <v>57</v>
      </c>
      <c r="L821" t="s">
        <v>49</v>
      </c>
      <c r="M821">
        <v>0</v>
      </c>
      <c r="N821">
        <f t="shared" si="51"/>
        <v>1</v>
      </c>
      <c r="P821" s="4">
        <f t="shared" si="48"/>
        <v>16</v>
      </c>
      <c r="Q821" s="4" t="str">
        <f t="shared" si="49"/>
        <v>Late Night</v>
      </c>
      <c r="R821" s="4" t="str">
        <f t="shared" si="50"/>
        <v>Low</v>
      </c>
    </row>
    <row r="822" spans="1:18">
      <c r="A822" t="s">
        <v>1071</v>
      </c>
      <c r="B822" s="2">
        <v>46170</v>
      </c>
      <c r="C822" s="3">
        <v>0.171527777777778</v>
      </c>
      <c r="D822" t="s">
        <v>101</v>
      </c>
      <c r="E822">
        <v>483.19</v>
      </c>
      <c r="F822" t="s">
        <v>31</v>
      </c>
      <c r="G822" t="s">
        <v>54</v>
      </c>
      <c r="H822" t="s">
        <v>10</v>
      </c>
      <c r="I822" t="s">
        <v>15</v>
      </c>
      <c r="J822" t="s">
        <v>23</v>
      </c>
      <c r="K822">
        <v>63</v>
      </c>
      <c r="L822" t="s">
        <v>49</v>
      </c>
      <c r="M822">
        <v>0</v>
      </c>
      <c r="N822">
        <f t="shared" si="51"/>
        <v>1</v>
      </c>
      <c r="P822" s="4">
        <f t="shared" si="48"/>
        <v>4</v>
      </c>
      <c r="Q822" s="4" t="str">
        <f t="shared" si="49"/>
        <v>Late Night</v>
      </c>
      <c r="R822" s="4" t="str">
        <f t="shared" si="50"/>
        <v>Low</v>
      </c>
    </row>
    <row r="823" spans="1:18">
      <c r="A823" t="s">
        <v>1072</v>
      </c>
      <c r="B823" s="2">
        <v>46170</v>
      </c>
      <c r="C823" s="3">
        <v>0.165277777777778</v>
      </c>
      <c r="D823" t="s">
        <v>621</v>
      </c>
      <c r="E823">
        <v>270.35</v>
      </c>
      <c r="F823" t="s">
        <v>30</v>
      </c>
      <c r="G823" t="s">
        <v>59</v>
      </c>
      <c r="H823" t="s">
        <v>9</v>
      </c>
      <c r="I823" t="s">
        <v>15</v>
      </c>
      <c r="J823" t="s">
        <v>22</v>
      </c>
      <c r="K823">
        <v>61</v>
      </c>
      <c r="L823" t="s">
        <v>168</v>
      </c>
      <c r="M823">
        <v>1</v>
      </c>
      <c r="N823">
        <f t="shared" si="51"/>
        <v>1</v>
      </c>
      <c r="P823" s="4">
        <f t="shared" si="48"/>
        <v>3</v>
      </c>
      <c r="Q823" s="4" t="str">
        <f t="shared" si="49"/>
        <v>Late Night</v>
      </c>
      <c r="R823" s="4" t="str">
        <f t="shared" si="50"/>
        <v>Low</v>
      </c>
    </row>
    <row r="824" spans="1:18">
      <c r="A824" t="s">
        <v>1073</v>
      </c>
      <c r="B824" s="2">
        <v>46171</v>
      </c>
      <c r="C824" s="3">
        <v>0.377777777777778</v>
      </c>
      <c r="D824" t="s">
        <v>457</v>
      </c>
      <c r="E824">
        <v>78.47</v>
      </c>
      <c r="F824" t="s">
        <v>29</v>
      </c>
      <c r="G824" t="s">
        <v>59</v>
      </c>
      <c r="H824" t="s">
        <v>4</v>
      </c>
      <c r="I824" t="s">
        <v>14</v>
      </c>
      <c r="J824" t="s">
        <v>23</v>
      </c>
      <c r="K824">
        <v>39</v>
      </c>
      <c r="L824" t="s">
        <v>49</v>
      </c>
      <c r="M824">
        <v>0</v>
      </c>
      <c r="N824">
        <f t="shared" si="51"/>
        <v>1</v>
      </c>
      <c r="P824" s="4">
        <f t="shared" si="48"/>
        <v>9</v>
      </c>
      <c r="Q824" s="4" t="str">
        <f t="shared" si="49"/>
        <v>Late Night</v>
      </c>
      <c r="R824" s="4" t="str">
        <f t="shared" si="50"/>
        <v>Low</v>
      </c>
    </row>
    <row r="825" spans="1:18">
      <c r="A825" t="s">
        <v>1074</v>
      </c>
      <c r="B825" s="2">
        <v>46171</v>
      </c>
      <c r="C825" s="3">
        <v>0.990972222222222</v>
      </c>
      <c r="D825" t="s">
        <v>617</v>
      </c>
      <c r="E825">
        <v>107.51</v>
      </c>
      <c r="F825" t="s">
        <v>31</v>
      </c>
      <c r="G825" t="s">
        <v>54</v>
      </c>
      <c r="H825" t="s">
        <v>8</v>
      </c>
      <c r="I825" t="s">
        <v>15</v>
      </c>
      <c r="J825" t="s">
        <v>18</v>
      </c>
      <c r="K825">
        <v>47</v>
      </c>
      <c r="L825" t="s">
        <v>49</v>
      </c>
      <c r="M825">
        <v>0</v>
      </c>
      <c r="N825">
        <f t="shared" si="51"/>
        <v>1</v>
      </c>
      <c r="P825" s="4">
        <f t="shared" si="48"/>
        <v>23</v>
      </c>
      <c r="Q825" s="4" t="str">
        <f t="shared" si="49"/>
        <v>Late Night</v>
      </c>
      <c r="R825" s="4" t="str">
        <f t="shared" si="50"/>
        <v>Low</v>
      </c>
    </row>
    <row r="826" spans="1:18">
      <c r="A826" t="s">
        <v>1075</v>
      </c>
      <c r="B826" s="2">
        <v>46171</v>
      </c>
      <c r="C826" s="3">
        <v>0.684027777777778</v>
      </c>
      <c r="D826" t="s">
        <v>188</v>
      </c>
      <c r="E826">
        <v>39.77</v>
      </c>
      <c r="F826" t="s">
        <v>29</v>
      </c>
      <c r="G826" t="s">
        <v>54</v>
      </c>
      <c r="H826" t="s">
        <v>5</v>
      </c>
      <c r="I826" t="s">
        <v>15</v>
      </c>
      <c r="J826" t="s">
        <v>19</v>
      </c>
      <c r="K826">
        <v>60</v>
      </c>
      <c r="L826" t="s">
        <v>49</v>
      </c>
      <c r="M826">
        <v>1</v>
      </c>
      <c r="N826">
        <f t="shared" si="51"/>
        <v>1</v>
      </c>
      <c r="P826" s="4">
        <f t="shared" si="48"/>
        <v>16</v>
      </c>
      <c r="Q826" s="4" t="str">
        <f t="shared" si="49"/>
        <v>Late Night</v>
      </c>
      <c r="R826" s="4" t="str">
        <f t="shared" si="50"/>
        <v>Low</v>
      </c>
    </row>
    <row r="827" spans="1:18">
      <c r="A827" t="s">
        <v>1076</v>
      </c>
      <c r="B827" s="2">
        <v>46171</v>
      </c>
      <c r="C827" s="3">
        <v>0.386805555555556</v>
      </c>
      <c r="D827" t="s">
        <v>192</v>
      </c>
      <c r="E827">
        <v>51.76</v>
      </c>
      <c r="F827" t="s">
        <v>28</v>
      </c>
      <c r="G827" t="s">
        <v>54</v>
      </c>
      <c r="H827" t="s">
        <v>8</v>
      </c>
      <c r="I827" t="s">
        <v>15</v>
      </c>
      <c r="J827" t="s">
        <v>24</v>
      </c>
      <c r="K827">
        <v>47</v>
      </c>
      <c r="L827" t="s">
        <v>49</v>
      </c>
      <c r="M827">
        <v>0</v>
      </c>
      <c r="N827">
        <f t="shared" si="51"/>
        <v>1</v>
      </c>
      <c r="P827" s="4">
        <f t="shared" si="48"/>
        <v>9</v>
      </c>
      <c r="Q827" s="4" t="str">
        <f t="shared" si="49"/>
        <v>Late Night</v>
      </c>
      <c r="R827" s="4" t="str">
        <f t="shared" si="50"/>
        <v>Low</v>
      </c>
    </row>
    <row r="828" spans="1:18">
      <c r="A828" t="s">
        <v>1077</v>
      </c>
      <c r="B828" s="2">
        <v>46171</v>
      </c>
      <c r="C828" s="3">
        <v>0.670138888888889</v>
      </c>
      <c r="D828" t="s">
        <v>380</v>
      </c>
      <c r="E828">
        <v>267.09</v>
      </c>
      <c r="F828" t="s">
        <v>31</v>
      </c>
      <c r="G828" t="s">
        <v>48</v>
      </c>
      <c r="H828" t="s">
        <v>5</v>
      </c>
      <c r="I828" t="s">
        <v>14</v>
      </c>
      <c r="J828" t="s">
        <v>19</v>
      </c>
      <c r="K828">
        <v>25</v>
      </c>
      <c r="L828" t="s">
        <v>49</v>
      </c>
      <c r="M828">
        <v>0</v>
      </c>
      <c r="N828">
        <f t="shared" si="51"/>
        <v>1</v>
      </c>
      <c r="P828" s="4">
        <f t="shared" si="48"/>
        <v>16</v>
      </c>
      <c r="Q828" s="4" t="str">
        <f t="shared" si="49"/>
        <v>Late Night</v>
      </c>
      <c r="R828" s="4" t="str">
        <f t="shared" si="50"/>
        <v>Low</v>
      </c>
    </row>
    <row r="829" spans="1:18">
      <c r="A829" t="s">
        <v>1078</v>
      </c>
      <c r="B829" s="2">
        <v>46172</v>
      </c>
      <c r="C829" s="3">
        <v>0.816666666666667</v>
      </c>
      <c r="D829" t="s">
        <v>63</v>
      </c>
      <c r="E829">
        <v>79.29</v>
      </c>
      <c r="F829" t="s">
        <v>28</v>
      </c>
      <c r="G829" t="s">
        <v>48</v>
      </c>
      <c r="H829" t="s">
        <v>3</v>
      </c>
      <c r="I829" t="s">
        <v>16</v>
      </c>
      <c r="J829" t="s">
        <v>20</v>
      </c>
      <c r="K829">
        <v>51</v>
      </c>
      <c r="L829" t="s">
        <v>49</v>
      </c>
      <c r="M829">
        <v>0</v>
      </c>
      <c r="N829">
        <f t="shared" si="51"/>
        <v>1</v>
      </c>
      <c r="P829" s="4">
        <f t="shared" si="48"/>
        <v>19</v>
      </c>
      <c r="Q829" s="4" t="str">
        <f t="shared" si="49"/>
        <v>Late Night</v>
      </c>
      <c r="R829" s="4" t="str">
        <f t="shared" si="50"/>
        <v>Low</v>
      </c>
    </row>
    <row r="830" spans="1:18">
      <c r="A830" t="s">
        <v>1079</v>
      </c>
      <c r="B830" s="2">
        <v>46172</v>
      </c>
      <c r="C830" s="3">
        <v>0.999305555555556</v>
      </c>
      <c r="D830" t="s">
        <v>836</v>
      </c>
      <c r="E830">
        <v>1101.34</v>
      </c>
      <c r="F830" t="s">
        <v>28</v>
      </c>
      <c r="G830" t="s">
        <v>54</v>
      </c>
      <c r="H830" t="s">
        <v>9</v>
      </c>
      <c r="I830" t="s">
        <v>15</v>
      </c>
      <c r="J830" t="s">
        <v>20</v>
      </c>
      <c r="K830">
        <v>64</v>
      </c>
      <c r="L830" t="s">
        <v>49</v>
      </c>
      <c r="M830">
        <v>0</v>
      </c>
      <c r="N830">
        <f t="shared" si="51"/>
        <v>1</v>
      </c>
      <c r="P830" s="4">
        <f t="shared" si="48"/>
        <v>23</v>
      </c>
      <c r="Q830" s="4" t="str">
        <f t="shared" si="49"/>
        <v>Late Night</v>
      </c>
      <c r="R830" s="4" t="str">
        <f t="shared" si="50"/>
        <v>Medium</v>
      </c>
    </row>
    <row r="831" spans="1:18">
      <c r="A831" t="s">
        <v>1080</v>
      </c>
      <c r="B831" s="2">
        <v>46172</v>
      </c>
      <c r="C831" s="3">
        <v>0.199305555555556</v>
      </c>
      <c r="D831" t="s">
        <v>905</v>
      </c>
      <c r="E831">
        <v>194.6</v>
      </c>
      <c r="F831" t="s">
        <v>31</v>
      </c>
      <c r="G831" t="s">
        <v>48</v>
      </c>
      <c r="H831" t="s">
        <v>10</v>
      </c>
      <c r="I831" t="s">
        <v>15</v>
      </c>
      <c r="J831" t="s">
        <v>23</v>
      </c>
      <c r="K831">
        <v>26</v>
      </c>
      <c r="L831" t="s">
        <v>159</v>
      </c>
      <c r="M831">
        <v>0</v>
      </c>
      <c r="N831">
        <f t="shared" si="51"/>
        <v>1</v>
      </c>
      <c r="P831" s="4">
        <f t="shared" si="48"/>
        <v>4</v>
      </c>
      <c r="Q831" s="4" t="str">
        <f t="shared" si="49"/>
        <v>Late Night</v>
      </c>
      <c r="R831" s="4" t="str">
        <f t="shared" si="50"/>
        <v>Low</v>
      </c>
    </row>
    <row r="832" spans="1:18">
      <c r="A832" t="s">
        <v>1081</v>
      </c>
      <c r="B832" s="2">
        <v>46172</v>
      </c>
      <c r="C832" s="3">
        <v>0.05</v>
      </c>
      <c r="D832" t="s">
        <v>184</v>
      </c>
      <c r="E832">
        <v>46.86</v>
      </c>
      <c r="F832" t="s">
        <v>32</v>
      </c>
      <c r="G832" t="s">
        <v>48</v>
      </c>
      <c r="H832" t="s">
        <v>6</v>
      </c>
      <c r="I832" t="s">
        <v>14</v>
      </c>
      <c r="J832" t="s">
        <v>24</v>
      </c>
      <c r="K832">
        <v>37</v>
      </c>
      <c r="L832" t="s">
        <v>49</v>
      </c>
      <c r="M832">
        <v>0</v>
      </c>
      <c r="N832">
        <f t="shared" si="51"/>
        <v>1</v>
      </c>
      <c r="P832" s="4">
        <f t="shared" si="48"/>
        <v>1</v>
      </c>
      <c r="Q832" s="4" t="str">
        <f t="shared" si="49"/>
        <v>Late Night</v>
      </c>
      <c r="R832" s="4" t="str">
        <f t="shared" si="50"/>
        <v>Low</v>
      </c>
    </row>
    <row r="833" spans="1:18">
      <c r="A833" t="s">
        <v>1082</v>
      </c>
      <c r="B833" s="2">
        <v>46172</v>
      </c>
      <c r="C833" s="3">
        <v>0.227083333333333</v>
      </c>
      <c r="D833" t="s">
        <v>188</v>
      </c>
      <c r="E833">
        <v>57.78</v>
      </c>
      <c r="F833" t="s">
        <v>30</v>
      </c>
      <c r="G833" t="s">
        <v>59</v>
      </c>
      <c r="H833" t="s">
        <v>8</v>
      </c>
      <c r="I833" t="s">
        <v>15</v>
      </c>
      <c r="J833" t="s">
        <v>23</v>
      </c>
      <c r="K833">
        <v>57</v>
      </c>
      <c r="L833" t="s">
        <v>49</v>
      </c>
      <c r="M833">
        <v>0</v>
      </c>
      <c r="N833">
        <f t="shared" si="51"/>
        <v>1</v>
      </c>
      <c r="P833" s="4">
        <f t="shared" si="48"/>
        <v>5</v>
      </c>
      <c r="Q833" s="4" t="str">
        <f t="shared" si="49"/>
        <v>Late Night</v>
      </c>
      <c r="R833" s="4" t="str">
        <f t="shared" si="50"/>
        <v>Low</v>
      </c>
    </row>
    <row r="834" spans="1:18">
      <c r="A834" t="s">
        <v>1083</v>
      </c>
      <c r="B834" s="2">
        <v>46172</v>
      </c>
      <c r="C834" s="3">
        <v>0.836111111111111</v>
      </c>
      <c r="D834" t="s">
        <v>239</v>
      </c>
      <c r="E834">
        <v>519.55</v>
      </c>
      <c r="F834" t="s">
        <v>29</v>
      </c>
      <c r="G834" t="s">
        <v>71</v>
      </c>
      <c r="H834" t="s">
        <v>8</v>
      </c>
      <c r="I834" t="s">
        <v>15</v>
      </c>
      <c r="J834" t="s">
        <v>22</v>
      </c>
      <c r="K834">
        <v>42</v>
      </c>
      <c r="L834" t="s">
        <v>49</v>
      </c>
      <c r="M834">
        <v>0</v>
      </c>
      <c r="N834">
        <f t="shared" si="51"/>
        <v>1</v>
      </c>
      <c r="P834" s="4">
        <f t="shared" ref="P834:P897" si="52">HOUR(C834)</f>
        <v>20</v>
      </c>
      <c r="Q834" s="4" t="str">
        <f t="shared" ref="Q834:Q897" si="53">IF(N834&lt;6,"Late Night",IF(N834&lt;12,"Morning",IF(N834&lt;18,"Afternoon","Evening")))</f>
        <v>Late Night</v>
      </c>
      <c r="R834" s="4" t="str">
        <f t="shared" ref="R834:R897" si="54">IF(E834&lt;1000,"Low",IF(E834&lt;5000,"Medium",IF(E834&lt;15000,"High","Very High")))</f>
        <v>Low</v>
      </c>
    </row>
    <row r="835" spans="1:18">
      <c r="A835" t="s">
        <v>1084</v>
      </c>
      <c r="B835" s="2">
        <v>46173</v>
      </c>
      <c r="C835" s="3">
        <v>0.05</v>
      </c>
      <c r="D835" t="s">
        <v>95</v>
      </c>
      <c r="E835">
        <v>167.92</v>
      </c>
      <c r="F835" t="s">
        <v>28</v>
      </c>
      <c r="G835" t="s">
        <v>59</v>
      </c>
      <c r="H835" t="s">
        <v>3</v>
      </c>
      <c r="I835" t="s">
        <v>15</v>
      </c>
      <c r="J835" t="s">
        <v>21</v>
      </c>
      <c r="K835">
        <v>36</v>
      </c>
      <c r="L835" t="s">
        <v>168</v>
      </c>
      <c r="M835">
        <v>1</v>
      </c>
      <c r="N835">
        <f t="shared" ref="N835:N898" si="55">COUNTIF($A$2:$A$1001,A835)</f>
        <v>1</v>
      </c>
      <c r="P835" s="4">
        <f t="shared" si="52"/>
        <v>1</v>
      </c>
      <c r="Q835" s="4" t="str">
        <f t="shared" si="53"/>
        <v>Late Night</v>
      </c>
      <c r="R835" s="4" t="str">
        <f t="shared" si="54"/>
        <v>Low</v>
      </c>
    </row>
    <row r="836" spans="1:18">
      <c r="A836" t="s">
        <v>1085</v>
      </c>
      <c r="B836" s="2">
        <v>46173</v>
      </c>
      <c r="C836" s="3">
        <v>0.511111111111111</v>
      </c>
      <c r="D836" t="s">
        <v>468</v>
      </c>
      <c r="E836">
        <v>488.82</v>
      </c>
      <c r="F836" t="s">
        <v>28</v>
      </c>
      <c r="G836" t="s">
        <v>48</v>
      </c>
      <c r="H836" t="s">
        <v>5</v>
      </c>
      <c r="I836" t="s">
        <v>15</v>
      </c>
      <c r="J836" t="s">
        <v>24</v>
      </c>
      <c r="K836">
        <v>22</v>
      </c>
      <c r="L836" t="s">
        <v>49</v>
      </c>
      <c r="M836">
        <v>0</v>
      </c>
      <c r="N836">
        <f t="shared" si="55"/>
        <v>1</v>
      </c>
      <c r="P836" s="4">
        <f t="shared" si="52"/>
        <v>12</v>
      </c>
      <c r="Q836" s="4" t="str">
        <f t="shared" si="53"/>
        <v>Late Night</v>
      </c>
      <c r="R836" s="4" t="str">
        <f t="shared" si="54"/>
        <v>Low</v>
      </c>
    </row>
    <row r="837" spans="1:18">
      <c r="A837" t="s">
        <v>1086</v>
      </c>
      <c r="B837" s="2">
        <v>46173</v>
      </c>
      <c r="C837" s="3">
        <v>0.450694444444444</v>
      </c>
      <c r="D837" t="s">
        <v>51</v>
      </c>
      <c r="E837">
        <v>125.65</v>
      </c>
      <c r="F837" t="s">
        <v>29</v>
      </c>
      <c r="G837" t="s">
        <v>48</v>
      </c>
      <c r="H837" t="s">
        <v>10</v>
      </c>
      <c r="I837" t="s">
        <v>16</v>
      </c>
      <c r="J837" t="s">
        <v>21</v>
      </c>
      <c r="K837">
        <v>28</v>
      </c>
      <c r="L837" t="s">
        <v>49</v>
      </c>
      <c r="M837">
        <v>0</v>
      </c>
      <c r="N837">
        <f t="shared" si="55"/>
        <v>1</v>
      </c>
      <c r="P837" s="4">
        <f t="shared" si="52"/>
        <v>10</v>
      </c>
      <c r="Q837" s="4" t="str">
        <f t="shared" si="53"/>
        <v>Late Night</v>
      </c>
      <c r="R837" s="4" t="str">
        <f t="shared" si="54"/>
        <v>Low</v>
      </c>
    </row>
    <row r="838" spans="1:18">
      <c r="A838" t="s">
        <v>1087</v>
      </c>
      <c r="B838" s="2">
        <v>46173</v>
      </c>
      <c r="C838" s="3">
        <v>0.44375</v>
      </c>
      <c r="D838" t="s">
        <v>596</v>
      </c>
      <c r="E838">
        <v>103.52</v>
      </c>
      <c r="F838" t="s">
        <v>28</v>
      </c>
      <c r="G838" t="s">
        <v>71</v>
      </c>
      <c r="H838" t="s">
        <v>3</v>
      </c>
      <c r="I838" t="s">
        <v>16</v>
      </c>
      <c r="J838" t="s">
        <v>19</v>
      </c>
      <c r="K838">
        <v>32</v>
      </c>
      <c r="L838" t="s">
        <v>49</v>
      </c>
      <c r="M838">
        <v>0</v>
      </c>
      <c r="N838">
        <f t="shared" si="55"/>
        <v>1</v>
      </c>
      <c r="P838" s="4">
        <f t="shared" si="52"/>
        <v>10</v>
      </c>
      <c r="Q838" s="4" t="str">
        <f t="shared" si="53"/>
        <v>Late Night</v>
      </c>
      <c r="R838" s="4" t="str">
        <f t="shared" si="54"/>
        <v>Low</v>
      </c>
    </row>
    <row r="839" spans="1:18">
      <c r="A839" t="s">
        <v>1088</v>
      </c>
      <c r="B839" s="2">
        <v>46173</v>
      </c>
      <c r="C839" s="3">
        <v>0.655555555555556</v>
      </c>
      <c r="D839" t="s">
        <v>114</v>
      </c>
      <c r="E839">
        <v>555.27</v>
      </c>
      <c r="F839" t="s">
        <v>31</v>
      </c>
      <c r="G839" t="s">
        <v>48</v>
      </c>
      <c r="H839" t="s">
        <v>9</v>
      </c>
      <c r="I839" t="s">
        <v>14</v>
      </c>
      <c r="J839" t="s">
        <v>22</v>
      </c>
      <c r="K839">
        <v>25</v>
      </c>
      <c r="L839" t="s">
        <v>49</v>
      </c>
      <c r="M839">
        <v>0</v>
      </c>
      <c r="N839">
        <f t="shared" si="55"/>
        <v>1</v>
      </c>
      <c r="P839" s="4">
        <f t="shared" si="52"/>
        <v>15</v>
      </c>
      <c r="Q839" s="4" t="str">
        <f t="shared" si="53"/>
        <v>Late Night</v>
      </c>
      <c r="R839" s="4" t="str">
        <f t="shared" si="54"/>
        <v>Low</v>
      </c>
    </row>
    <row r="840" spans="1:18">
      <c r="A840" t="s">
        <v>1089</v>
      </c>
      <c r="B840" s="2">
        <v>46173</v>
      </c>
      <c r="C840" s="3">
        <v>0.438194444444444</v>
      </c>
      <c r="D840" t="s">
        <v>208</v>
      </c>
      <c r="E840">
        <v>76.82</v>
      </c>
      <c r="F840" t="s">
        <v>28</v>
      </c>
      <c r="G840" t="s">
        <v>48</v>
      </c>
      <c r="H840" t="s">
        <v>10</v>
      </c>
      <c r="I840" t="s">
        <v>15</v>
      </c>
      <c r="J840" t="s">
        <v>21</v>
      </c>
      <c r="K840">
        <v>36</v>
      </c>
      <c r="L840" t="s">
        <v>159</v>
      </c>
      <c r="M840">
        <v>0</v>
      </c>
      <c r="N840">
        <f t="shared" si="55"/>
        <v>1</v>
      </c>
      <c r="P840" s="4">
        <f t="shared" si="52"/>
        <v>10</v>
      </c>
      <c r="Q840" s="4" t="str">
        <f t="shared" si="53"/>
        <v>Late Night</v>
      </c>
      <c r="R840" s="4" t="str">
        <f t="shared" si="54"/>
        <v>Low</v>
      </c>
    </row>
    <row r="841" spans="1:18">
      <c r="A841" t="s">
        <v>1090</v>
      </c>
      <c r="B841" s="2">
        <v>46174</v>
      </c>
      <c r="C841" s="3">
        <v>0.769444444444444</v>
      </c>
      <c r="D841" t="s">
        <v>754</v>
      </c>
      <c r="E841">
        <v>295.61</v>
      </c>
      <c r="F841" t="s">
        <v>30</v>
      </c>
      <c r="G841" t="s">
        <v>59</v>
      </c>
      <c r="H841" t="s">
        <v>9</v>
      </c>
      <c r="I841" t="s">
        <v>14</v>
      </c>
      <c r="J841" t="s">
        <v>18</v>
      </c>
      <c r="K841">
        <v>40</v>
      </c>
      <c r="L841" t="s">
        <v>49</v>
      </c>
      <c r="M841">
        <v>0</v>
      </c>
      <c r="N841">
        <f t="shared" si="55"/>
        <v>1</v>
      </c>
      <c r="P841" s="4">
        <f t="shared" si="52"/>
        <v>18</v>
      </c>
      <c r="Q841" s="4" t="str">
        <f t="shared" si="53"/>
        <v>Late Night</v>
      </c>
      <c r="R841" s="4" t="str">
        <f t="shared" si="54"/>
        <v>Low</v>
      </c>
    </row>
    <row r="842" spans="1:18">
      <c r="A842" t="s">
        <v>1091</v>
      </c>
      <c r="B842" s="2">
        <v>46174</v>
      </c>
      <c r="C842" s="3">
        <v>0.618055555555556</v>
      </c>
      <c r="D842" t="s">
        <v>151</v>
      </c>
      <c r="E842">
        <v>146.67</v>
      </c>
      <c r="F842" t="s">
        <v>28</v>
      </c>
      <c r="G842" t="s">
        <v>59</v>
      </c>
      <c r="H842" t="s">
        <v>4</v>
      </c>
      <c r="I842" t="s">
        <v>15</v>
      </c>
      <c r="J842" t="s">
        <v>19</v>
      </c>
      <c r="K842">
        <v>44</v>
      </c>
      <c r="L842" t="s">
        <v>49</v>
      </c>
      <c r="M842">
        <v>0</v>
      </c>
      <c r="N842">
        <f t="shared" si="55"/>
        <v>1</v>
      </c>
      <c r="P842" s="4">
        <f t="shared" si="52"/>
        <v>14</v>
      </c>
      <c r="Q842" s="4" t="str">
        <f t="shared" si="53"/>
        <v>Late Night</v>
      </c>
      <c r="R842" s="4" t="str">
        <f t="shared" si="54"/>
        <v>Low</v>
      </c>
    </row>
    <row r="843" spans="1:18">
      <c r="A843" t="s">
        <v>1092</v>
      </c>
      <c r="B843" s="2">
        <v>46174</v>
      </c>
      <c r="C843" s="3">
        <v>0.95625</v>
      </c>
      <c r="D843" t="s">
        <v>316</v>
      </c>
      <c r="E843">
        <v>436.47</v>
      </c>
      <c r="F843" t="s">
        <v>31</v>
      </c>
      <c r="G843" t="s">
        <v>59</v>
      </c>
      <c r="H843" t="s">
        <v>7</v>
      </c>
      <c r="I843" t="s">
        <v>15</v>
      </c>
      <c r="J843" t="s">
        <v>21</v>
      </c>
      <c r="K843">
        <v>57</v>
      </c>
      <c r="L843" t="s">
        <v>49</v>
      </c>
      <c r="M843">
        <v>0</v>
      </c>
      <c r="N843">
        <f t="shared" si="55"/>
        <v>1</v>
      </c>
      <c r="P843" s="4">
        <f t="shared" si="52"/>
        <v>22</v>
      </c>
      <c r="Q843" s="4" t="str">
        <f t="shared" si="53"/>
        <v>Late Night</v>
      </c>
      <c r="R843" s="4" t="str">
        <f t="shared" si="54"/>
        <v>Low</v>
      </c>
    </row>
    <row r="844" spans="1:18">
      <c r="A844" t="s">
        <v>1093</v>
      </c>
      <c r="B844" s="2">
        <v>46174</v>
      </c>
      <c r="C844" s="3">
        <v>0.918055555555556</v>
      </c>
      <c r="D844" t="s">
        <v>167</v>
      </c>
      <c r="E844">
        <v>1117.09</v>
      </c>
      <c r="F844" t="s">
        <v>29</v>
      </c>
      <c r="G844" t="s">
        <v>48</v>
      </c>
      <c r="H844" t="s">
        <v>4</v>
      </c>
      <c r="I844" t="s">
        <v>14</v>
      </c>
      <c r="J844" t="s">
        <v>22</v>
      </c>
      <c r="K844">
        <v>49</v>
      </c>
      <c r="L844" t="s">
        <v>49</v>
      </c>
      <c r="M844">
        <v>0</v>
      </c>
      <c r="N844">
        <f t="shared" si="55"/>
        <v>1</v>
      </c>
      <c r="P844" s="4">
        <f t="shared" si="52"/>
        <v>22</v>
      </c>
      <c r="Q844" s="4" t="str">
        <f t="shared" si="53"/>
        <v>Late Night</v>
      </c>
      <c r="R844" s="4" t="str">
        <f t="shared" si="54"/>
        <v>Medium</v>
      </c>
    </row>
    <row r="845" spans="1:18">
      <c r="A845" t="s">
        <v>1094</v>
      </c>
      <c r="B845" s="2">
        <v>46174</v>
      </c>
      <c r="C845" s="3">
        <v>0.663194444444444</v>
      </c>
      <c r="D845" t="s">
        <v>145</v>
      </c>
      <c r="E845">
        <v>122.46</v>
      </c>
      <c r="F845" t="s">
        <v>31</v>
      </c>
      <c r="G845" t="s">
        <v>48</v>
      </c>
      <c r="H845" t="s">
        <v>9</v>
      </c>
      <c r="I845" t="s">
        <v>15</v>
      </c>
      <c r="J845" t="s">
        <v>21</v>
      </c>
      <c r="K845">
        <v>43</v>
      </c>
      <c r="L845" t="s">
        <v>49</v>
      </c>
      <c r="M845">
        <v>0</v>
      </c>
      <c r="N845">
        <f t="shared" si="55"/>
        <v>1</v>
      </c>
      <c r="P845" s="4">
        <f t="shared" si="52"/>
        <v>15</v>
      </c>
      <c r="Q845" s="4" t="str">
        <f t="shared" si="53"/>
        <v>Late Night</v>
      </c>
      <c r="R845" s="4" t="str">
        <f t="shared" si="54"/>
        <v>Low</v>
      </c>
    </row>
    <row r="846" spans="1:18">
      <c r="A846" t="s">
        <v>1095</v>
      </c>
      <c r="B846" s="2">
        <v>46175</v>
      </c>
      <c r="C846" s="3">
        <v>0.44375</v>
      </c>
      <c r="D846" t="s">
        <v>364</v>
      </c>
      <c r="E846">
        <v>104.88</v>
      </c>
      <c r="F846" t="s">
        <v>31</v>
      </c>
      <c r="G846" t="s">
        <v>71</v>
      </c>
      <c r="H846" t="s">
        <v>8</v>
      </c>
      <c r="I846" t="s">
        <v>15</v>
      </c>
      <c r="J846" t="s">
        <v>20</v>
      </c>
      <c r="K846">
        <v>44</v>
      </c>
      <c r="L846" t="s">
        <v>49</v>
      </c>
      <c r="M846">
        <v>0</v>
      </c>
      <c r="N846">
        <f t="shared" si="55"/>
        <v>1</v>
      </c>
      <c r="P846" s="4">
        <f t="shared" si="52"/>
        <v>10</v>
      </c>
      <c r="Q846" s="4" t="str">
        <f t="shared" si="53"/>
        <v>Late Night</v>
      </c>
      <c r="R846" s="4" t="str">
        <f t="shared" si="54"/>
        <v>Low</v>
      </c>
    </row>
    <row r="847" spans="1:18">
      <c r="A847" t="s">
        <v>1096</v>
      </c>
      <c r="B847" s="2">
        <v>46175</v>
      </c>
      <c r="C847" s="3">
        <v>0.897916666666667</v>
      </c>
      <c r="D847" t="s">
        <v>53</v>
      </c>
      <c r="E847">
        <v>352.77</v>
      </c>
      <c r="F847" t="s">
        <v>31</v>
      </c>
      <c r="G847" t="s">
        <v>48</v>
      </c>
      <c r="H847" t="s">
        <v>10</v>
      </c>
      <c r="I847" t="s">
        <v>15</v>
      </c>
      <c r="J847" t="s">
        <v>23</v>
      </c>
      <c r="K847">
        <v>36</v>
      </c>
      <c r="L847" t="s">
        <v>49</v>
      </c>
      <c r="M847">
        <v>0</v>
      </c>
      <c r="N847">
        <f t="shared" si="55"/>
        <v>1</v>
      </c>
      <c r="P847" s="4">
        <f t="shared" si="52"/>
        <v>21</v>
      </c>
      <c r="Q847" s="4" t="str">
        <f t="shared" si="53"/>
        <v>Late Night</v>
      </c>
      <c r="R847" s="4" t="str">
        <f t="shared" si="54"/>
        <v>Low</v>
      </c>
    </row>
    <row r="848" spans="1:18">
      <c r="A848" t="s">
        <v>1097</v>
      </c>
      <c r="B848" s="2">
        <v>46175</v>
      </c>
      <c r="C848" s="3">
        <v>0.652083333333333</v>
      </c>
      <c r="D848" t="s">
        <v>58</v>
      </c>
      <c r="E848">
        <v>61.44</v>
      </c>
      <c r="F848" t="s">
        <v>31</v>
      </c>
      <c r="G848" t="s">
        <v>59</v>
      </c>
      <c r="H848" t="s">
        <v>5</v>
      </c>
      <c r="I848" t="s">
        <v>14</v>
      </c>
      <c r="J848" t="s">
        <v>18</v>
      </c>
      <c r="K848">
        <v>59</v>
      </c>
      <c r="L848" t="s">
        <v>49</v>
      </c>
      <c r="M848">
        <v>0</v>
      </c>
      <c r="N848">
        <f t="shared" si="55"/>
        <v>1</v>
      </c>
      <c r="P848" s="4">
        <f t="shared" si="52"/>
        <v>15</v>
      </c>
      <c r="Q848" s="4" t="str">
        <f t="shared" si="53"/>
        <v>Late Night</v>
      </c>
      <c r="R848" s="4" t="str">
        <f t="shared" si="54"/>
        <v>Low</v>
      </c>
    </row>
    <row r="849" spans="1:18">
      <c r="A849" t="s">
        <v>1098</v>
      </c>
      <c r="B849" s="2">
        <v>46175</v>
      </c>
      <c r="C849" s="3">
        <v>0.309722222222222</v>
      </c>
      <c r="D849" t="s">
        <v>260</v>
      </c>
      <c r="E849">
        <v>912.75</v>
      </c>
      <c r="F849" t="s">
        <v>29</v>
      </c>
      <c r="G849" t="s">
        <v>59</v>
      </c>
      <c r="H849" t="s">
        <v>6</v>
      </c>
      <c r="I849" t="s">
        <v>15</v>
      </c>
      <c r="J849" t="s">
        <v>20</v>
      </c>
      <c r="K849">
        <v>46</v>
      </c>
      <c r="L849" t="s">
        <v>49</v>
      </c>
      <c r="M849">
        <v>0</v>
      </c>
      <c r="N849">
        <f t="shared" si="55"/>
        <v>1</v>
      </c>
      <c r="P849" s="4">
        <f t="shared" si="52"/>
        <v>7</v>
      </c>
      <c r="Q849" s="4" t="str">
        <f t="shared" si="53"/>
        <v>Late Night</v>
      </c>
      <c r="R849" s="4" t="str">
        <f t="shared" si="54"/>
        <v>Low</v>
      </c>
    </row>
    <row r="850" spans="1:18">
      <c r="A850" t="s">
        <v>1099</v>
      </c>
      <c r="B850" s="2">
        <v>46175</v>
      </c>
      <c r="C850" s="3">
        <v>0.133333333333333</v>
      </c>
      <c r="D850" t="s">
        <v>243</v>
      </c>
      <c r="E850">
        <v>769.72</v>
      </c>
      <c r="F850" t="s">
        <v>28</v>
      </c>
      <c r="G850" t="s">
        <v>59</v>
      </c>
      <c r="H850" t="s">
        <v>5</v>
      </c>
      <c r="I850" t="s">
        <v>15</v>
      </c>
      <c r="J850" t="s">
        <v>20</v>
      </c>
      <c r="K850">
        <v>56</v>
      </c>
      <c r="L850" t="s">
        <v>168</v>
      </c>
      <c r="M850">
        <v>1</v>
      </c>
      <c r="N850">
        <f t="shared" si="55"/>
        <v>1</v>
      </c>
      <c r="P850" s="4">
        <f t="shared" si="52"/>
        <v>3</v>
      </c>
      <c r="Q850" s="4" t="str">
        <f t="shared" si="53"/>
        <v>Late Night</v>
      </c>
      <c r="R850" s="4" t="str">
        <f t="shared" si="54"/>
        <v>Low</v>
      </c>
    </row>
    <row r="851" spans="1:18">
      <c r="A851" t="s">
        <v>1100</v>
      </c>
      <c r="B851" s="2">
        <v>46175</v>
      </c>
      <c r="C851" s="3">
        <v>0.322222222222222</v>
      </c>
      <c r="D851" t="s">
        <v>89</v>
      </c>
      <c r="E851">
        <v>66.75</v>
      </c>
      <c r="F851" t="s">
        <v>31</v>
      </c>
      <c r="G851" t="s">
        <v>48</v>
      </c>
      <c r="H851" t="s">
        <v>10</v>
      </c>
      <c r="I851" t="s">
        <v>15</v>
      </c>
      <c r="J851" t="s">
        <v>22</v>
      </c>
      <c r="K851">
        <v>58</v>
      </c>
      <c r="L851" t="s">
        <v>49</v>
      </c>
      <c r="M851">
        <v>0</v>
      </c>
      <c r="N851">
        <f t="shared" si="55"/>
        <v>1</v>
      </c>
      <c r="P851" s="4">
        <f t="shared" si="52"/>
        <v>7</v>
      </c>
      <c r="Q851" s="4" t="str">
        <f t="shared" si="53"/>
        <v>Late Night</v>
      </c>
      <c r="R851" s="4" t="str">
        <f t="shared" si="54"/>
        <v>Low</v>
      </c>
    </row>
    <row r="852" spans="1:18">
      <c r="A852" t="s">
        <v>1101</v>
      </c>
      <c r="B852" s="2">
        <v>46176</v>
      </c>
      <c r="C852" s="3">
        <v>0.147222222222222</v>
      </c>
      <c r="D852" t="s">
        <v>368</v>
      </c>
      <c r="E852">
        <v>37.22</v>
      </c>
      <c r="F852" t="s">
        <v>30</v>
      </c>
      <c r="G852" t="s">
        <v>48</v>
      </c>
      <c r="H852" t="s">
        <v>4</v>
      </c>
      <c r="I852" t="s">
        <v>14</v>
      </c>
      <c r="J852" t="s">
        <v>23</v>
      </c>
      <c r="K852">
        <v>50</v>
      </c>
      <c r="L852" t="s">
        <v>49</v>
      </c>
      <c r="M852">
        <v>1</v>
      </c>
      <c r="N852">
        <f t="shared" si="55"/>
        <v>1</v>
      </c>
      <c r="P852" s="4">
        <f t="shared" si="52"/>
        <v>3</v>
      </c>
      <c r="Q852" s="4" t="str">
        <f t="shared" si="53"/>
        <v>Late Night</v>
      </c>
      <c r="R852" s="4" t="str">
        <f t="shared" si="54"/>
        <v>Low</v>
      </c>
    </row>
    <row r="853" spans="1:18">
      <c r="A853" t="s">
        <v>1102</v>
      </c>
      <c r="B853" s="2">
        <v>46176</v>
      </c>
      <c r="C853" s="3">
        <v>0.961805555555556</v>
      </c>
      <c r="D853" t="s">
        <v>300</v>
      </c>
      <c r="E853">
        <v>56.79</v>
      </c>
      <c r="F853" t="s">
        <v>30</v>
      </c>
      <c r="G853" t="s">
        <v>59</v>
      </c>
      <c r="H853" t="s">
        <v>6</v>
      </c>
      <c r="I853" t="s">
        <v>14</v>
      </c>
      <c r="J853" t="s">
        <v>23</v>
      </c>
      <c r="K853">
        <v>36</v>
      </c>
      <c r="L853" t="s">
        <v>49</v>
      </c>
      <c r="M853">
        <v>0</v>
      </c>
      <c r="N853">
        <f t="shared" si="55"/>
        <v>1</v>
      </c>
      <c r="P853" s="4">
        <f t="shared" si="52"/>
        <v>23</v>
      </c>
      <c r="Q853" s="4" t="str">
        <f t="shared" si="53"/>
        <v>Late Night</v>
      </c>
      <c r="R853" s="4" t="str">
        <f t="shared" si="54"/>
        <v>Low</v>
      </c>
    </row>
    <row r="854" spans="1:18">
      <c r="A854" t="s">
        <v>1103</v>
      </c>
      <c r="B854" s="2">
        <v>46176</v>
      </c>
      <c r="C854" s="3">
        <v>0.0993055555555555</v>
      </c>
      <c r="D854" t="s">
        <v>314</v>
      </c>
      <c r="E854">
        <v>57.66</v>
      </c>
      <c r="F854" t="s">
        <v>30</v>
      </c>
      <c r="G854" t="s">
        <v>66</v>
      </c>
      <c r="H854" t="s">
        <v>10</v>
      </c>
      <c r="I854" t="s">
        <v>15</v>
      </c>
      <c r="J854" t="s">
        <v>24</v>
      </c>
      <c r="K854">
        <v>54</v>
      </c>
      <c r="L854" t="s">
        <v>49</v>
      </c>
      <c r="M854">
        <v>0</v>
      </c>
      <c r="N854">
        <f t="shared" si="55"/>
        <v>1</v>
      </c>
      <c r="P854" s="4">
        <f t="shared" si="52"/>
        <v>2</v>
      </c>
      <c r="Q854" s="4" t="str">
        <f t="shared" si="53"/>
        <v>Late Night</v>
      </c>
      <c r="R854" s="4" t="str">
        <f t="shared" si="54"/>
        <v>Low</v>
      </c>
    </row>
    <row r="855" spans="1:18">
      <c r="A855" t="s">
        <v>1104</v>
      </c>
      <c r="B855" s="2">
        <v>46176</v>
      </c>
      <c r="C855" s="3">
        <v>0.0958333333333333</v>
      </c>
      <c r="D855" t="s">
        <v>255</v>
      </c>
      <c r="E855">
        <v>404.14</v>
      </c>
      <c r="F855" t="s">
        <v>31</v>
      </c>
      <c r="G855" t="s">
        <v>71</v>
      </c>
      <c r="H855" t="s">
        <v>9</v>
      </c>
      <c r="I855" t="s">
        <v>15</v>
      </c>
      <c r="J855" t="s">
        <v>19</v>
      </c>
      <c r="K855">
        <v>36</v>
      </c>
      <c r="L855" t="s">
        <v>49</v>
      </c>
      <c r="M855">
        <v>0</v>
      </c>
      <c r="N855">
        <f t="shared" si="55"/>
        <v>1</v>
      </c>
      <c r="P855" s="4">
        <f t="shared" si="52"/>
        <v>2</v>
      </c>
      <c r="Q855" s="4" t="str">
        <f t="shared" si="53"/>
        <v>Late Night</v>
      </c>
      <c r="R855" s="4" t="str">
        <f t="shared" si="54"/>
        <v>Low</v>
      </c>
    </row>
    <row r="856" spans="1:18">
      <c r="A856" t="s">
        <v>1105</v>
      </c>
      <c r="B856" s="2">
        <v>46176</v>
      </c>
      <c r="C856" s="3">
        <v>0.71875</v>
      </c>
      <c r="D856" t="s">
        <v>1106</v>
      </c>
      <c r="E856">
        <v>853.35</v>
      </c>
      <c r="F856" t="s">
        <v>28</v>
      </c>
      <c r="G856" t="s">
        <v>48</v>
      </c>
      <c r="H856" t="s">
        <v>8</v>
      </c>
      <c r="I856" t="s">
        <v>15</v>
      </c>
      <c r="J856" t="s">
        <v>18</v>
      </c>
      <c r="K856">
        <v>50</v>
      </c>
      <c r="L856" t="s">
        <v>49</v>
      </c>
      <c r="M856">
        <v>0</v>
      </c>
      <c r="N856">
        <f t="shared" si="55"/>
        <v>1</v>
      </c>
      <c r="P856" s="4">
        <f t="shared" si="52"/>
        <v>17</v>
      </c>
      <c r="Q856" s="4" t="str">
        <f t="shared" si="53"/>
        <v>Late Night</v>
      </c>
      <c r="R856" s="4" t="str">
        <f t="shared" si="54"/>
        <v>Low</v>
      </c>
    </row>
    <row r="857" spans="1:18">
      <c r="A857" t="s">
        <v>1107</v>
      </c>
      <c r="B857" s="2">
        <v>46177</v>
      </c>
      <c r="C857" s="3">
        <v>0.777083333333333</v>
      </c>
      <c r="D857" t="s">
        <v>93</v>
      </c>
      <c r="E857">
        <v>399.47</v>
      </c>
      <c r="F857" t="s">
        <v>32</v>
      </c>
      <c r="G857" t="s">
        <v>48</v>
      </c>
      <c r="H857" t="s">
        <v>5</v>
      </c>
      <c r="I857" t="s">
        <v>16</v>
      </c>
      <c r="J857" t="s">
        <v>19</v>
      </c>
      <c r="K857">
        <v>64</v>
      </c>
      <c r="L857" t="s">
        <v>49</v>
      </c>
      <c r="M857">
        <v>0</v>
      </c>
      <c r="N857">
        <f t="shared" si="55"/>
        <v>1</v>
      </c>
      <c r="P857" s="4">
        <f t="shared" si="52"/>
        <v>18</v>
      </c>
      <c r="Q857" s="4" t="str">
        <f t="shared" si="53"/>
        <v>Late Night</v>
      </c>
      <c r="R857" s="4" t="str">
        <f t="shared" si="54"/>
        <v>Low</v>
      </c>
    </row>
    <row r="858" spans="1:18">
      <c r="A858" t="s">
        <v>1108</v>
      </c>
      <c r="B858" s="2">
        <v>46177</v>
      </c>
      <c r="C858" s="3">
        <v>0.76875</v>
      </c>
      <c r="D858" t="s">
        <v>649</v>
      </c>
      <c r="E858">
        <v>143.14</v>
      </c>
      <c r="F858" t="s">
        <v>29</v>
      </c>
      <c r="G858" t="s">
        <v>71</v>
      </c>
      <c r="H858" t="s">
        <v>9</v>
      </c>
      <c r="I858" t="s">
        <v>15</v>
      </c>
      <c r="J858" t="s">
        <v>22</v>
      </c>
      <c r="K858">
        <v>33</v>
      </c>
      <c r="L858" t="s">
        <v>49</v>
      </c>
      <c r="M858">
        <v>0</v>
      </c>
      <c r="N858">
        <f t="shared" si="55"/>
        <v>1</v>
      </c>
      <c r="P858" s="4">
        <f t="shared" si="52"/>
        <v>18</v>
      </c>
      <c r="Q858" s="4" t="str">
        <f t="shared" si="53"/>
        <v>Late Night</v>
      </c>
      <c r="R858" s="4" t="str">
        <f t="shared" si="54"/>
        <v>Low</v>
      </c>
    </row>
    <row r="859" spans="1:18">
      <c r="A859" t="s">
        <v>1109</v>
      </c>
      <c r="B859" s="2">
        <v>46177</v>
      </c>
      <c r="C859" s="3">
        <v>0.855555555555556</v>
      </c>
      <c r="D859" t="s">
        <v>296</v>
      </c>
      <c r="E859">
        <v>255.32</v>
      </c>
      <c r="F859" t="s">
        <v>31</v>
      </c>
      <c r="G859" t="s">
        <v>59</v>
      </c>
      <c r="H859" t="s">
        <v>6</v>
      </c>
      <c r="I859" t="s">
        <v>16</v>
      </c>
      <c r="J859" t="s">
        <v>18</v>
      </c>
      <c r="K859">
        <v>40</v>
      </c>
      <c r="L859" t="s">
        <v>49</v>
      </c>
      <c r="M859">
        <v>0</v>
      </c>
      <c r="N859">
        <f t="shared" si="55"/>
        <v>1</v>
      </c>
      <c r="P859" s="4">
        <f t="shared" si="52"/>
        <v>20</v>
      </c>
      <c r="Q859" s="4" t="str">
        <f t="shared" si="53"/>
        <v>Late Night</v>
      </c>
      <c r="R859" s="4" t="str">
        <f t="shared" si="54"/>
        <v>Low</v>
      </c>
    </row>
    <row r="860" spans="1:18">
      <c r="A860" t="s">
        <v>1110</v>
      </c>
      <c r="B860" s="2">
        <v>46177</v>
      </c>
      <c r="C860" s="3">
        <v>0.206944444444444</v>
      </c>
      <c r="D860" t="s">
        <v>195</v>
      </c>
      <c r="E860">
        <v>75.96</v>
      </c>
      <c r="F860" t="s">
        <v>31</v>
      </c>
      <c r="G860" t="s">
        <v>71</v>
      </c>
      <c r="H860" t="s">
        <v>6</v>
      </c>
      <c r="I860" t="s">
        <v>15</v>
      </c>
      <c r="J860" t="s">
        <v>24</v>
      </c>
      <c r="K860">
        <v>24</v>
      </c>
      <c r="L860" t="s">
        <v>49</v>
      </c>
      <c r="M860">
        <v>0</v>
      </c>
      <c r="N860">
        <f t="shared" si="55"/>
        <v>1</v>
      </c>
      <c r="P860" s="4">
        <f t="shared" si="52"/>
        <v>4</v>
      </c>
      <c r="Q860" s="4" t="str">
        <f t="shared" si="53"/>
        <v>Late Night</v>
      </c>
      <c r="R860" s="4" t="str">
        <f t="shared" si="54"/>
        <v>Low</v>
      </c>
    </row>
    <row r="861" spans="1:18">
      <c r="A861" t="s">
        <v>1111</v>
      </c>
      <c r="B861" s="2">
        <v>46177</v>
      </c>
      <c r="C861" s="3">
        <v>0.748611111111111</v>
      </c>
      <c r="D861" t="s">
        <v>905</v>
      </c>
      <c r="E861">
        <v>543.05</v>
      </c>
      <c r="F861" t="s">
        <v>28</v>
      </c>
      <c r="G861" t="s">
        <v>48</v>
      </c>
      <c r="H861" t="s">
        <v>5</v>
      </c>
      <c r="I861" t="s">
        <v>14</v>
      </c>
      <c r="J861" t="s">
        <v>21</v>
      </c>
      <c r="K861">
        <v>43</v>
      </c>
      <c r="L861" t="s">
        <v>49</v>
      </c>
      <c r="M861">
        <v>0</v>
      </c>
      <c r="N861">
        <f t="shared" si="55"/>
        <v>1</v>
      </c>
      <c r="P861" s="4">
        <f t="shared" si="52"/>
        <v>17</v>
      </c>
      <c r="Q861" s="4" t="str">
        <f t="shared" si="53"/>
        <v>Late Night</v>
      </c>
      <c r="R861" s="4" t="str">
        <f t="shared" si="54"/>
        <v>Low</v>
      </c>
    </row>
    <row r="862" spans="1:18">
      <c r="A862" t="s">
        <v>1112</v>
      </c>
      <c r="B862" s="2">
        <v>46177</v>
      </c>
      <c r="C862" s="3">
        <v>0.407638888888889</v>
      </c>
      <c r="D862" t="s">
        <v>609</v>
      </c>
      <c r="E862">
        <v>279.23</v>
      </c>
      <c r="F862" t="s">
        <v>30</v>
      </c>
      <c r="G862" t="s">
        <v>59</v>
      </c>
      <c r="H862" t="s">
        <v>9</v>
      </c>
      <c r="I862" t="s">
        <v>14</v>
      </c>
      <c r="J862" t="s">
        <v>20</v>
      </c>
      <c r="K862">
        <v>49</v>
      </c>
      <c r="L862" t="s">
        <v>49</v>
      </c>
      <c r="M862">
        <v>0</v>
      </c>
      <c r="N862">
        <f t="shared" si="55"/>
        <v>1</v>
      </c>
      <c r="P862" s="4">
        <f t="shared" si="52"/>
        <v>9</v>
      </c>
      <c r="Q862" s="4" t="str">
        <f t="shared" si="53"/>
        <v>Late Night</v>
      </c>
      <c r="R862" s="4" t="str">
        <f t="shared" si="54"/>
        <v>Low</v>
      </c>
    </row>
    <row r="863" spans="1:18">
      <c r="A863" t="s">
        <v>1113</v>
      </c>
      <c r="B863" s="2">
        <v>46178</v>
      </c>
      <c r="C863" s="3">
        <v>0.902777777777778</v>
      </c>
      <c r="D863" t="s">
        <v>754</v>
      </c>
      <c r="E863">
        <v>392.76</v>
      </c>
      <c r="F863" t="s">
        <v>28</v>
      </c>
      <c r="G863" t="s">
        <v>59</v>
      </c>
      <c r="H863" t="s">
        <v>3</v>
      </c>
      <c r="I863" t="s">
        <v>15</v>
      </c>
      <c r="J863" t="s">
        <v>18</v>
      </c>
      <c r="K863">
        <v>29</v>
      </c>
      <c r="L863" t="s">
        <v>49</v>
      </c>
      <c r="M863">
        <v>0</v>
      </c>
      <c r="N863">
        <f t="shared" si="55"/>
        <v>1</v>
      </c>
      <c r="P863" s="4">
        <f t="shared" si="52"/>
        <v>21</v>
      </c>
      <c r="Q863" s="4" t="str">
        <f t="shared" si="53"/>
        <v>Late Night</v>
      </c>
      <c r="R863" s="4" t="str">
        <f t="shared" si="54"/>
        <v>Low</v>
      </c>
    </row>
    <row r="864" spans="1:18">
      <c r="A864" t="s">
        <v>1114</v>
      </c>
      <c r="B864" s="2">
        <v>46178</v>
      </c>
      <c r="C864" s="3">
        <v>0.841666666666667</v>
      </c>
      <c r="D864" t="s">
        <v>1106</v>
      </c>
      <c r="E864">
        <v>87.57</v>
      </c>
      <c r="F864" t="s">
        <v>28</v>
      </c>
      <c r="G864" t="s">
        <v>59</v>
      </c>
      <c r="H864" t="s">
        <v>9</v>
      </c>
      <c r="I864" t="s">
        <v>16</v>
      </c>
      <c r="J864" t="s">
        <v>19</v>
      </c>
      <c r="K864">
        <v>25</v>
      </c>
      <c r="L864" t="s">
        <v>49</v>
      </c>
      <c r="M864">
        <v>0</v>
      </c>
      <c r="N864">
        <f t="shared" si="55"/>
        <v>1</v>
      </c>
      <c r="P864" s="4">
        <f t="shared" si="52"/>
        <v>20</v>
      </c>
      <c r="Q864" s="4" t="str">
        <f t="shared" si="53"/>
        <v>Late Night</v>
      </c>
      <c r="R864" s="4" t="str">
        <f t="shared" si="54"/>
        <v>Low</v>
      </c>
    </row>
    <row r="865" spans="1:18">
      <c r="A865" t="s">
        <v>1115</v>
      </c>
      <c r="B865" s="2">
        <v>46178</v>
      </c>
      <c r="C865" s="3">
        <v>0.2375</v>
      </c>
      <c r="D865" t="s">
        <v>235</v>
      </c>
      <c r="E865">
        <v>153.15</v>
      </c>
      <c r="F865" t="s">
        <v>31</v>
      </c>
      <c r="G865" t="s">
        <v>54</v>
      </c>
      <c r="H865" t="s">
        <v>6</v>
      </c>
      <c r="I865" t="s">
        <v>15</v>
      </c>
      <c r="J865" t="s">
        <v>20</v>
      </c>
      <c r="K865">
        <v>22</v>
      </c>
      <c r="L865" t="s">
        <v>49</v>
      </c>
      <c r="M865">
        <v>1</v>
      </c>
      <c r="N865">
        <f t="shared" si="55"/>
        <v>1</v>
      </c>
      <c r="P865" s="4">
        <f t="shared" si="52"/>
        <v>5</v>
      </c>
      <c r="Q865" s="4" t="str">
        <f t="shared" si="53"/>
        <v>Late Night</v>
      </c>
      <c r="R865" s="4" t="str">
        <f t="shared" si="54"/>
        <v>Low</v>
      </c>
    </row>
    <row r="866" spans="1:18">
      <c r="A866" t="s">
        <v>1116</v>
      </c>
      <c r="B866" s="2">
        <v>46178</v>
      </c>
      <c r="C866" s="3">
        <v>0.0305555555555556</v>
      </c>
      <c r="D866" t="s">
        <v>754</v>
      </c>
      <c r="E866">
        <v>374.31</v>
      </c>
      <c r="F866" t="s">
        <v>29</v>
      </c>
      <c r="G866" t="s">
        <v>48</v>
      </c>
      <c r="H866" t="s">
        <v>9</v>
      </c>
      <c r="I866" t="s">
        <v>15</v>
      </c>
      <c r="J866" t="s">
        <v>22</v>
      </c>
      <c r="K866">
        <v>59</v>
      </c>
      <c r="L866" t="s">
        <v>49</v>
      </c>
      <c r="M866">
        <v>0</v>
      </c>
      <c r="N866">
        <f t="shared" si="55"/>
        <v>1</v>
      </c>
      <c r="P866" s="4">
        <f t="shared" si="52"/>
        <v>0</v>
      </c>
      <c r="Q866" s="4" t="str">
        <f t="shared" si="53"/>
        <v>Late Night</v>
      </c>
      <c r="R866" s="4" t="str">
        <f t="shared" si="54"/>
        <v>Low</v>
      </c>
    </row>
    <row r="867" spans="1:18">
      <c r="A867" t="s">
        <v>1117</v>
      </c>
      <c r="B867" s="2">
        <v>46178</v>
      </c>
      <c r="C867" s="3">
        <v>0.183333333333333</v>
      </c>
      <c r="D867" t="s">
        <v>1118</v>
      </c>
      <c r="E867">
        <v>767.79</v>
      </c>
      <c r="F867" t="s">
        <v>30</v>
      </c>
      <c r="G867" t="s">
        <v>59</v>
      </c>
      <c r="H867" t="s">
        <v>8</v>
      </c>
      <c r="I867" t="s">
        <v>15</v>
      </c>
      <c r="J867" t="s">
        <v>19</v>
      </c>
      <c r="K867">
        <v>45</v>
      </c>
      <c r="L867" t="s">
        <v>49</v>
      </c>
      <c r="M867">
        <v>1</v>
      </c>
      <c r="N867">
        <f t="shared" si="55"/>
        <v>1</v>
      </c>
      <c r="P867" s="4">
        <f t="shared" si="52"/>
        <v>4</v>
      </c>
      <c r="Q867" s="4" t="str">
        <f t="shared" si="53"/>
        <v>Late Night</v>
      </c>
      <c r="R867" s="4" t="str">
        <f t="shared" si="54"/>
        <v>Low</v>
      </c>
    </row>
    <row r="868" spans="1:18">
      <c r="A868" t="s">
        <v>1119</v>
      </c>
      <c r="B868" s="2">
        <v>46179</v>
      </c>
      <c r="C868" s="3">
        <v>0.369444444444444</v>
      </c>
      <c r="D868" t="s">
        <v>112</v>
      </c>
      <c r="E868">
        <v>98.68</v>
      </c>
      <c r="F868" t="s">
        <v>31</v>
      </c>
      <c r="G868" t="s">
        <v>48</v>
      </c>
      <c r="H868" t="s">
        <v>10</v>
      </c>
      <c r="I868" t="s">
        <v>14</v>
      </c>
      <c r="J868" t="s">
        <v>21</v>
      </c>
      <c r="K868">
        <v>22</v>
      </c>
      <c r="L868" t="s">
        <v>49</v>
      </c>
      <c r="M868">
        <v>0</v>
      </c>
      <c r="N868">
        <f t="shared" si="55"/>
        <v>1</v>
      </c>
      <c r="P868" s="4">
        <f t="shared" si="52"/>
        <v>8</v>
      </c>
      <c r="Q868" s="4" t="str">
        <f t="shared" si="53"/>
        <v>Late Night</v>
      </c>
      <c r="R868" s="4" t="str">
        <f t="shared" si="54"/>
        <v>Low</v>
      </c>
    </row>
    <row r="869" spans="1:18">
      <c r="A869" t="s">
        <v>1120</v>
      </c>
      <c r="B869" s="2">
        <v>46179</v>
      </c>
      <c r="C869" s="3">
        <v>0.486805555555556</v>
      </c>
      <c r="D869" t="s">
        <v>358</v>
      </c>
      <c r="E869">
        <v>395.62</v>
      </c>
      <c r="F869" t="s">
        <v>29</v>
      </c>
      <c r="G869" t="s">
        <v>54</v>
      </c>
      <c r="H869" t="s">
        <v>4</v>
      </c>
      <c r="I869" t="s">
        <v>15</v>
      </c>
      <c r="J869" t="s">
        <v>22</v>
      </c>
      <c r="K869">
        <v>43</v>
      </c>
      <c r="L869" t="s">
        <v>49</v>
      </c>
      <c r="M869">
        <v>0</v>
      </c>
      <c r="N869">
        <f t="shared" si="55"/>
        <v>1</v>
      </c>
      <c r="P869" s="4">
        <f t="shared" si="52"/>
        <v>11</v>
      </c>
      <c r="Q869" s="4" t="str">
        <f t="shared" si="53"/>
        <v>Late Night</v>
      </c>
      <c r="R869" s="4" t="str">
        <f t="shared" si="54"/>
        <v>Low</v>
      </c>
    </row>
    <row r="870" spans="1:18">
      <c r="A870" t="s">
        <v>1121</v>
      </c>
      <c r="B870" s="2">
        <v>46179</v>
      </c>
      <c r="C870" s="3">
        <v>0.565972222222222</v>
      </c>
      <c r="D870" t="s">
        <v>174</v>
      </c>
      <c r="E870">
        <v>88.94</v>
      </c>
      <c r="F870" t="s">
        <v>32</v>
      </c>
      <c r="G870" t="s">
        <v>71</v>
      </c>
      <c r="H870" t="s">
        <v>8</v>
      </c>
      <c r="I870" t="s">
        <v>15</v>
      </c>
      <c r="J870" t="s">
        <v>21</v>
      </c>
      <c r="K870">
        <v>22</v>
      </c>
      <c r="L870" t="s">
        <v>159</v>
      </c>
      <c r="M870">
        <v>0</v>
      </c>
      <c r="N870">
        <f t="shared" si="55"/>
        <v>1</v>
      </c>
      <c r="P870" s="4">
        <f t="shared" si="52"/>
        <v>13</v>
      </c>
      <c r="Q870" s="4" t="str">
        <f t="shared" si="53"/>
        <v>Late Night</v>
      </c>
      <c r="R870" s="4" t="str">
        <f t="shared" si="54"/>
        <v>Low</v>
      </c>
    </row>
    <row r="871" spans="1:18">
      <c r="A871" t="s">
        <v>1122</v>
      </c>
      <c r="B871" s="2">
        <v>46179</v>
      </c>
      <c r="C871" s="3">
        <v>0.0597222222222222</v>
      </c>
      <c r="D871" t="s">
        <v>464</v>
      </c>
      <c r="E871">
        <v>1505.97</v>
      </c>
      <c r="F871" t="s">
        <v>31</v>
      </c>
      <c r="G871" t="s">
        <v>54</v>
      </c>
      <c r="H871" t="s">
        <v>3</v>
      </c>
      <c r="I871" t="s">
        <v>15</v>
      </c>
      <c r="J871" t="s">
        <v>21</v>
      </c>
      <c r="K871">
        <v>39</v>
      </c>
      <c r="L871" t="s">
        <v>49</v>
      </c>
      <c r="M871">
        <v>0</v>
      </c>
      <c r="N871">
        <f t="shared" si="55"/>
        <v>1</v>
      </c>
      <c r="P871" s="4">
        <f t="shared" si="52"/>
        <v>1</v>
      </c>
      <c r="Q871" s="4" t="str">
        <f t="shared" si="53"/>
        <v>Late Night</v>
      </c>
      <c r="R871" s="4" t="str">
        <f t="shared" si="54"/>
        <v>Medium</v>
      </c>
    </row>
    <row r="872" spans="1:18">
      <c r="A872" t="s">
        <v>1123</v>
      </c>
      <c r="B872" s="2">
        <v>46179</v>
      </c>
      <c r="C872" s="3">
        <v>0.692361111111111</v>
      </c>
      <c r="D872" t="s">
        <v>605</v>
      </c>
      <c r="E872">
        <v>119.72</v>
      </c>
      <c r="F872" t="s">
        <v>28</v>
      </c>
      <c r="G872" t="s">
        <v>66</v>
      </c>
      <c r="H872" t="s">
        <v>7</v>
      </c>
      <c r="I872" t="s">
        <v>15</v>
      </c>
      <c r="J872" t="s">
        <v>20</v>
      </c>
      <c r="K872">
        <v>32</v>
      </c>
      <c r="L872" t="s">
        <v>49</v>
      </c>
      <c r="M872">
        <v>0</v>
      </c>
      <c r="N872">
        <f t="shared" si="55"/>
        <v>1</v>
      </c>
      <c r="P872" s="4">
        <f t="shared" si="52"/>
        <v>16</v>
      </c>
      <c r="Q872" s="4" t="str">
        <f t="shared" si="53"/>
        <v>Late Night</v>
      </c>
      <c r="R872" s="4" t="str">
        <f t="shared" si="54"/>
        <v>Low</v>
      </c>
    </row>
    <row r="873" spans="1:18">
      <c r="A873" t="s">
        <v>1124</v>
      </c>
      <c r="B873" s="2">
        <v>46179</v>
      </c>
      <c r="C873" s="3">
        <v>0.582638888888889</v>
      </c>
      <c r="D873" t="s">
        <v>214</v>
      </c>
      <c r="E873">
        <v>344.99</v>
      </c>
      <c r="F873" t="s">
        <v>31</v>
      </c>
      <c r="G873" t="s">
        <v>48</v>
      </c>
      <c r="H873" t="s">
        <v>10</v>
      </c>
      <c r="I873" t="s">
        <v>15</v>
      </c>
      <c r="J873" t="s">
        <v>22</v>
      </c>
      <c r="K873">
        <v>30</v>
      </c>
      <c r="L873" t="s">
        <v>49</v>
      </c>
      <c r="M873">
        <v>0</v>
      </c>
      <c r="N873">
        <f t="shared" si="55"/>
        <v>1</v>
      </c>
      <c r="P873" s="4">
        <f t="shared" si="52"/>
        <v>13</v>
      </c>
      <c r="Q873" s="4" t="str">
        <f t="shared" si="53"/>
        <v>Late Night</v>
      </c>
      <c r="R873" s="4" t="str">
        <f t="shared" si="54"/>
        <v>Low</v>
      </c>
    </row>
    <row r="874" spans="1:18">
      <c r="A874" t="s">
        <v>1125</v>
      </c>
      <c r="B874" s="2">
        <v>46180</v>
      </c>
      <c r="C874" s="3">
        <v>0.504166666666667</v>
      </c>
      <c r="D874" t="s">
        <v>368</v>
      </c>
      <c r="E874">
        <v>213.92</v>
      </c>
      <c r="F874" t="s">
        <v>29</v>
      </c>
      <c r="G874" t="s">
        <v>59</v>
      </c>
      <c r="H874" t="s">
        <v>4</v>
      </c>
      <c r="I874" t="s">
        <v>15</v>
      </c>
      <c r="J874" t="s">
        <v>22</v>
      </c>
      <c r="K874">
        <v>45</v>
      </c>
      <c r="L874" t="s">
        <v>49</v>
      </c>
      <c r="M874">
        <v>0</v>
      </c>
      <c r="N874">
        <f t="shared" si="55"/>
        <v>1</v>
      </c>
      <c r="P874" s="4">
        <f t="shared" si="52"/>
        <v>12</v>
      </c>
      <c r="Q874" s="4" t="str">
        <f t="shared" si="53"/>
        <v>Late Night</v>
      </c>
      <c r="R874" s="4" t="str">
        <f t="shared" si="54"/>
        <v>Low</v>
      </c>
    </row>
    <row r="875" spans="1:18">
      <c r="A875" t="s">
        <v>1126</v>
      </c>
      <c r="B875" s="2">
        <v>46180</v>
      </c>
      <c r="C875" s="3">
        <v>0.336111111111111</v>
      </c>
      <c r="D875" t="s">
        <v>134</v>
      </c>
      <c r="E875">
        <v>2453.58</v>
      </c>
      <c r="F875" t="s">
        <v>28</v>
      </c>
      <c r="G875" t="s">
        <v>71</v>
      </c>
      <c r="H875" t="s">
        <v>7</v>
      </c>
      <c r="I875" t="s">
        <v>14</v>
      </c>
      <c r="J875" t="s">
        <v>18</v>
      </c>
      <c r="K875">
        <v>50</v>
      </c>
      <c r="L875" t="s">
        <v>49</v>
      </c>
      <c r="M875">
        <v>0</v>
      </c>
      <c r="N875">
        <f t="shared" si="55"/>
        <v>1</v>
      </c>
      <c r="P875" s="4">
        <f t="shared" si="52"/>
        <v>8</v>
      </c>
      <c r="Q875" s="4" t="str">
        <f t="shared" si="53"/>
        <v>Late Night</v>
      </c>
      <c r="R875" s="4" t="str">
        <f t="shared" si="54"/>
        <v>Medium</v>
      </c>
    </row>
    <row r="876" spans="1:18">
      <c r="A876" t="s">
        <v>1127</v>
      </c>
      <c r="B876" s="2">
        <v>46180</v>
      </c>
      <c r="C876" s="3">
        <v>0.6125</v>
      </c>
      <c r="D876" t="s">
        <v>372</v>
      </c>
      <c r="E876">
        <v>228.13</v>
      </c>
      <c r="F876" t="s">
        <v>29</v>
      </c>
      <c r="G876" t="s">
        <v>48</v>
      </c>
      <c r="H876" t="s">
        <v>5</v>
      </c>
      <c r="I876" t="s">
        <v>15</v>
      </c>
      <c r="J876" t="s">
        <v>19</v>
      </c>
      <c r="K876">
        <v>60</v>
      </c>
      <c r="L876" t="s">
        <v>49</v>
      </c>
      <c r="M876">
        <v>0</v>
      </c>
      <c r="N876">
        <f t="shared" si="55"/>
        <v>1</v>
      </c>
      <c r="P876" s="4">
        <f t="shared" si="52"/>
        <v>14</v>
      </c>
      <c r="Q876" s="4" t="str">
        <f t="shared" si="53"/>
        <v>Late Night</v>
      </c>
      <c r="R876" s="4" t="str">
        <f t="shared" si="54"/>
        <v>Low</v>
      </c>
    </row>
    <row r="877" spans="1:18">
      <c r="A877" t="s">
        <v>1128</v>
      </c>
      <c r="B877" s="2">
        <v>46180</v>
      </c>
      <c r="C877" s="3">
        <v>0.905555555555556</v>
      </c>
      <c r="D877" t="s">
        <v>226</v>
      </c>
      <c r="E877">
        <v>108.3</v>
      </c>
      <c r="F877" t="s">
        <v>29</v>
      </c>
      <c r="G877" t="s">
        <v>48</v>
      </c>
      <c r="H877" t="s">
        <v>7</v>
      </c>
      <c r="I877" t="s">
        <v>15</v>
      </c>
      <c r="J877" t="s">
        <v>22</v>
      </c>
      <c r="K877">
        <v>40</v>
      </c>
      <c r="L877" t="s">
        <v>49</v>
      </c>
      <c r="M877">
        <v>0</v>
      </c>
      <c r="N877">
        <f t="shared" si="55"/>
        <v>1</v>
      </c>
      <c r="P877" s="4">
        <f t="shared" si="52"/>
        <v>21</v>
      </c>
      <c r="Q877" s="4" t="str">
        <f t="shared" si="53"/>
        <v>Late Night</v>
      </c>
      <c r="R877" s="4" t="str">
        <f t="shared" si="54"/>
        <v>Low</v>
      </c>
    </row>
    <row r="878" spans="1:18">
      <c r="A878" t="s">
        <v>1129</v>
      </c>
      <c r="B878" s="2">
        <v>46180</v>
      </c>
      <c r="C878" s="3">
        <v>0.622916666666667</v>
      </c>
      <c r="D878" t="s">
        <v>486</v>
      </c>
      <c r="E878">
        <v>343.61</v>
      </c>
      <c r="F878" t="s">
        <v>31</v>
      </c>
      <c r="G878" t="s">
        <v>54</v>
      </c>
      <c r="H878" t="s">
        <v>10</v>
      </c>
      <c r="I878" t="s">
        <v>15</v>
      </c>
      <c r="J878" t="s">
        <v>18</v>
      </c>
      <c r="K878">
        <v>50</v>
      </c>
      <c r="L878" t="s">
        <v>49</v>
      </c>
      <c r="M878">
        <v>0</v>
      </c>
      <c r="N878">
        <f t="shared" si="55"/>
        <v>1</v>
      </c>
      <c r="P878" s="4">
        <f t="shared" si="52"/>
        <v>14</v>
      </c>
      <c r="Q878" s="4" t="str">
        <f t="shared" si="53"/>
        <v>Late Night</v>
      </c>
      <c r="R878" s="4" t="str">
        <f t="shared" si="54"/>
        <v>Low</v>
      </c>
    </row>
    <row r="879" spans="1:18">
      <c r="A879" t="s">
        <v>1130</v>
      </c>
      <c r="B879" s="2">
        <v>46181</v>
      </c>
      <c r="C879" s="3">
        <v>0.997222222222222</v>
      </c>
      <c r="D879" t="s">
        <v>206</v>
      </c>
      <c r="E879">
        <v>336.04</v>
      </c>
      <c r="F879" t="s">
        <v>30</v>
      </c>
      <c r="G879" t="s">
        <v>48</v>
      </c>
      <c r="H879" t="s">
        <v>9</v>
      </c>
      <c r="I879" t="s">
        <v>15</v>
      </c>
      <c r="J879" t="s">
        <v>23</v>
      </c>
      <c r="K879">
        <v>60</v>
      </c>
      <c r="L879" t="s">
        <v>49</v>
      </c>
      <c r="M879">
        <v>0</v>
      </c>
      <c r="N879">
        <f t="shared" si="55"/>
        <v>1</v>
      </c>
      <c r="P879" s="4">
        <f t="shared" si="52"/>
        <v>23</v>
      </c>
      <c r="Q879" s="4" t="str">
        <f t="shared" si="53"/>
        <v>Late Night</v>
      </c>
      <c r="R879" s="4" t="str">
        <f t="shared" si="54"/>
        <v>Low</v>
      </c>
    </row>
    <row r="880" spans="1:18">
      <c r="A880" t="s">
        <v>1131</v>
      </c>
      <c r="B880" s="2">
        <v>46181</v>
      </c>
      <c r="C880" s="3">
        <v>0.451388888888889</v>
      </c>
      <c r="D880" t="s">
        <v>594</v>
      </c>
      <c r="E880">
        <v>154.86</v>
      </c>
      <c r="F880" t="s">
        <v>28</v>
      </c>
      <c r="G880" t="s">
        <v>66</v>
      </c>
      <c r="H880" t="s">
        <v>10</v>
      </c>
      <c r="I880" t="s">
        <v>14</v>
      </c>
      <c r="J880" t="s">
        <v>23</v>
      </c>
      <c r="K880">
        <v>35</v>
      </c>
      <c r="L880" t="s">
        <v>49</v>
      </c>
      <c r="M880">
        <v>0</v>
      </c>
      <c r="N880">
        <f t="shared" si="55"/>
        <v>1</v>
      </c>
      <c r="P880" s="4">
        <f t="shared" si="52"/>
        <v>10</v>
      </c>
      <c r="Q880" s="4" t="str">
        <f t="shared" si="53"/>
        <v>Late Night</v>
      </c>
      <c r="R880" s="4" t="str">
        <f t="shared" si="54"/>
        <v>Low</v>
      </c>
    </row>
    <row r="881" spans="1:18">
      <c r="A881" t="s">
        <v>1132</v>
      </c>
      <c r="B881" s="2">
        <v>46181</v>
      </c>
      <c r="C881" s="3">
        <v>0.645833333333333</v>
      </c>
      <c r="D881" t="s">
        <v>437</v>
      </c>
      <c r="E881">
        <v>60.66</v>
      </c>
      <c r="F881" t="s">
        <v>31</v>
      </c>
      <c r="G881" t="s">
        <v>71</v>
      </c>
      <c r="H881" t="s">
        <v>8</v>
      </c>
      <c r="I881" t="s">
        <v>14</v>
      </c>
      <c r="J881" t="s">
        <v>23</v>
      </c>
      <c r="K881">
        <v>47</v>
      </c>
      <c r="L881" t="s">
        <v>49</v>
      </c>
      <c r="M881">
        <v>0</v>
      </c>
      <c r="N881">
        <f t="shared" si="55"/>
        <v>1</v>
      </c>
      <c r="P881" s="4">
        <f t="shared" si="52"/>
        <v>15</v>
      </c>
      <c r="Q881" s="4" t="str">
        <f t="shared" si="53"/>
        <v>Late Night</v>
      </c>
      <c r="R881" s="4" t="str">
        <f t="shared" si="54"/>
        <v>Low</v>
      </c>
    </row>
    <row r="882" spans="1:18">
      <c r="A882" t="s">
        <v>1133</v>
      </c>
      <c r="B882" s="2">
        <v>46181</v>
      </c>
      <c r="C882" s="3">
        <v>0.681944444444444</v>
      </c>
      <c r="D882" t="s">
        <v>249</v>
      </c>
      <c r="E882">
        <v>106.91</v>
      </c>
      <c r="F882" t="s">
        <v>29</v>
      </c>
      <c r="G882" t="s">
        <v>54</v>
      </c>
      <c r="H882" t="s">
        <v>7</v>
      </c>
      <c r="I882" t="s">
        <v>15</v>
      </c>
      <c r="J882" t="s">
        <v>24</v>
      </c>
      <c r="K882">
        <v>43</v>
      </c>
      <c r="L882" t="s">
        <v>49</v>
      </c>
      <c r="M882">
        <v>0</v>
      </c>
      <c r="N882">
        <f t="shared" si="55"/>
        <v>1</v>
      </c>
      <c r="P882" s="4">
        <f t="shared" si="52"/>
        <v>16</v>
      </c>
      <c r="Q882" s="4" t="str">
        <f t="shared" si="53"/>
        <v>Late Night</v>
      </c>
      <c r="R882" s="4" t="str">
        <f t="shared" si="54"/>
        <v>Low</v>
      </c>
    </row>
    <row r="883" spans="1:18">
      <c r="A883" t="s">
        <v>1134</v>
      </c>
      <c r="B883" s="2">
        <v>46181</v>
      </c>
      <c r="C883" s="3">
        <v>0.153472222222222</v>
      </c>
      <c r="D883" t="s">
        <v>134</v>
      </c>
      <c r="E883">
        <v>437.68</v>
      </c>
      <c r="F883" t="s">
        <v>29</v>
      </c>
      <c r="G883" t="s">
        <v>48</v>
      </c>
      <c r="H883" t="s">
        <v>6</v>
      </c>
      <c r="I883" t="s">
        <v>14</v>
      </c>
      <c r="J883" t="s">
        <v>22</v>
      </c>
      <c r="K883">
        <v>33</v>
      </c>
      <c r="L883" t="s">
        <v>168</v>
      </c>
      <c r="M883">
        <v>1</v>
      </c>
      <c r="N883">
        <f t="shared" si="55"/>
        <v>1</v>
      </c>
      <c r="P883" s="4">
        <f t="shared" si="52"/>
        <v>3</v>
      </c>
      <c r="Q883" s="4" t="str">
        <f t="shared" si="53"/>
        <v>Late Night</v>
      </c>
      <c r="R883" s="4" t="str">
        <f t="shared" si="54"/>
        <v>Low</v>
      </c>
    </row>
    <row r="884" spans="1:18">
      <c r="A884" t="s">
        <v>1135</v>
      </c>
      <c r="B884" s="2">
        <v>46181</v>
      </c>
      <c r="C884" s="3">
        <v>0.00625</v>
      </c>
      <c r="D884" t="s">
        <v>420</v>
      </c>
      <c r="E884">
        <v>31.58</v>
      </c>
      <c r="F884" t="s">
        <v>31</v>
      </c>
      <c r="G884" t="s">
        <v>54</v>
      </c>
      <c r="H884" t="s">
        <v>4</v>
      </c>
      <c r="I884" t="s">
        <v>14</v>
      </c>
      <c r="J884" t="s">
        <v>24</v>
      </c>
      <c r="K884">
        <v>30</v>
      </c>
      <c r="L884" t="s">
        <v>85</v>
      </c>
      <c r="M884">
        <v>1</v>
      </c>
      <c r="N884">
        <f t="shared" si="55"/>
        <v>1</v>
      </c>
      <c r="P884" s="4">
        <f t="shared" si="52"/>
        <v>0</v>
      </c>
      <c r="Q884" s="4" t="str">
        <f t="shared" si="53"/>
        <v>Late Night</v>
      </c>
      <c r="R884" s="4" t="str">
        <f t="shared" si="54"/>
        <v>Low</v>
      </c>
    </row>
    <row r="885" spans="1:18">
      <c r="A885" t="s">
        <v>1136</v>
      </c>
      <c r="B885" s="2">
        <v>46182</v>
      </c>
      <c r="C885" s="3">
        <v>0.313194444444444</v>
      </c>
      <c r="D885" t="s">
        <v>230</v>
      </c>
      <c r="E885">
        <v>141.45</v>
      </c>
      <c r="F885" t="s">
        <v>30</v>
      </c>
      <c r="G885" t="s">
        <v>59</v>
      </c>
      <c r="H885" t="s">
        <v>4</v>
      </c>
      <c r="I885" t="s">
        <v>14</v>
      </c>
      <c r="J885" t="s">
        <v>19</v>
      </c>
      <c r="K885">
        <v>56</v>
      </c>
      <c r="L885" t="s">
        <v>49</v>
      </c>
      <c r="M885">
        <v>0</v>
      </c>
      <c r="N885">
        <f t="shared" si="55"/>
        <v>1</v>
      </c>
      <c r="P885" s="4">
        <f t="shared" si="52"/>
        <v>7</v>
      </c>
      <c r="Q885" s="4" t="str">
        <f t="shared" si="53"/>
        <v>Late Night</v>
      </c>
      <c r="R885" s="4" t="str">
        <f t="shared" si="54"/>
        <v>Low</v>
      </c>
    </row>
    <row r="886" spans="1:18">
      <c r="A886" t="s">
        <v>1137</v>
      </c>
      <c r="B886" s="2">
        <v>46182</v>
      </c>
      <c r="C886" s="3">
        <v>0.695833333333333</v>
      </c>
      <c r="D886" t="s">
        <v>241</v>
      </c>
      <c r="E886">
        <v>490.22</v>
      </c>
      <c r="F886" t="s">
        <v>30</v>
      </c>
      <c r="G886" t="s">
        <v>48</v>
      </c>
      <c r="H886" t="s">
        <v>7</v>
      </c>
      <c r="I886" t="s">
        <v>15</v>
      </c>
      <c r="J886" t="s">
        <v>22</v>
      </c>
      <c r="K886">
        <v>50</v>
      </c>
      <c r="L886" t="s">
        <v>49</v>
      </c>
      <c r="M886">
        <v>0</v>
      </c>
      <c r="N886">
        <f t="shared" si="55"/>
        <v>1</v>
      </c>
      <c r="P886" s="4">
        <f t="shared" si="52"/>
        <v>16</v>
      </c>
      <c r="Q886" s="4" t="str">
        <f t="shared" si="53"/>
        <v>Late Night</v>
      </c>
      <c r="R886" s="4" t="str">
        <f t="shared" si="54"/>
        <v>Low</v>
      </c>
    </row>
    <row r="887" spans="1:18">
      <c r="A887" t="s">
        <v>1138</v>
      </c>
      <c r="B887" s="2">
        <v>46182</v>
      </c>
      <c r="C887" s="3">
        <v>0.119444444444444</v>
      </c>
      <c r="D887" t="s">
        <v>669</v>
      </c>
      <c r="E887">
        <v>165.09</v>
      </c>
      <c r="F887" t="s">
        <v>31</v>
      </c>
      <c r="G887" t="s">
        <v>59</v>
      </c>
      <c r="H887" t="s">
        <v>4</v>
      </c>
      <c r="I887" t="s">
        <v>16</v>
      </c>
      <c r="J887" t="s">
        <v>18</v>
      </c>
      <c r="K887">
        <v>43</v>
      </c>
      <c r="L887" t="s">
        <v>49</v>
      </c>
      <c r="M887">
        <v>1</v>
      </c>
      <c r="N887">
        <f t="shared" si="55"/>
        <v>1</v>
      </c>
      <c r="P887" s="4">
        <f t="shared" si="52"/>
        <v>2</v>
      </c>
      <c r="Q887" s="4" t="str">
        <f t="shared" si="53"/>
        <v>Late Night</v>
      </c>
      <c r="R887" s="4" t="str">
        <f t="shared" si="54"/>
        <v>Low</v>
      </c>
    </row>
    <row r="888" spans="1:18">
      <c r="A888" t="s">
        <v>1139</v>
      </c>
      <c r="B888" s="2">
        <v>46182</v>
      </c>
      <c r="C888" s="3">
        <v>0.811805555555556</v>
      </c>
      <c r="D888" t="s">
        <v>176</v>
      </c>
      <c r="E888">
        <v>1593.54</v>
      </c>
      <c r="F888" t="s">
        <v>32</v>
      </c>
      <c r="G888" t="s">
        <v>59</v>
      </c>
      <c r="H888" t="s">
        <v>6</v>
      </c>
      <c r="I888" t="s">
        <v>15</v>
      </c>
      <c r="J888" t="s">
        <v>24</v>
      </c>
      <c r="K888">
        <v>65</v>
      </c>
      <c r="L888" t="s">
        <v>49</v>
      </c>
      <c r="M888">
        <v>0</v>
      </c>
      <c r="N888">
        <f t="shared" si="55"/>
        <v>1</v>
      </c>
      <c r="P888" s="4">
        <f t="shared" si="52"/>
        <v>19</v>
      </c>
      <c r="Q888" s="4" t="str">
        <f t="shared" si="53"/>
        <v>Late Night</v>
      </c>
      <c r="R888" s="4" t="str">
        <f t="shared" si="54"/>
        <v>Medium</v>
      </c>
    </row>
    <row r="889" spans="1:18">
      <c r="A889" t="s">
        <v>1140</v>
      </c>
      <c r="B889" s="2">
        <v>46182</v>
      </c>
      <c r="C889" s="3">
        <v>0.609722222222222</v>
      </c>
      <c r="D889" t="s">
        <v>308</v>
      </c>
      <c r="E889">
        <v>31.67</v>
      </c>
      <c r="F889" t="s">
        <v>31</v>
      </c>
      <c r="G889" t="s">
        <v>59</v>
      </c>
      <c r="H889" t="s">
        <v>10</v>
      </c>
      <c r="I889" t="s">
        <v>15</v>
      </c>
      <c r="J889" t="s">
        <v>24</v>
      </c>
      <c r="K889">
        <v>18</v>
      </c>
      <c r="L889" t="s">
        <v>49</v>
      </c>
      <c r="M889">
        <v>0</v>
      </c>
      <c r="N889">
        <f t="shared" si="55"/>
        <v>1</v>
      </c>
      <c r="P889" s="4">
        <f t="shared" si="52"/>
        <v>14</v>
      </c>
      <c r="Q889" s="4" t="str">
        <f t="shared" si="53"/>
        <v>Late Night</v>
      </c>
      <c r="R889" s="4" t="str">
        <f t="shared" si="54"/>
        <v>Low</v>
      </c>
    </row>
    <row r="890" spans="1:18">
      <c r="A890" t="s">
        <v>1141</v>
      </c>
      <c r="B890" s="2">
        <v>46183</v>
      </c>
      <c r="C890" s="3">
        <v>0.604166666666667</v>
      </c>
      <c r="D890" t="s">
        <v>735</v>
      </c>
      <c r="E890">
        <v>69.31</v>
      </c>
      <c r="F890" t="s">
        <v>31</v>
      </c>
      <c r="G890" t="s">
        <v>48</v>
      </c>
      <c r="H890" t="s">
        <v>4</v>
      </c>
      <c r="I890" t="s">
        <v>15</v>
      </c>
      <c r="J890" t="s">
        <v>19</v>
      </c>
      <c r="K890">
        <v>55</v>
      </c>
      <c r="L890" t="s">
        <v>49</v>
      </c>
      <c r="M890">
        <v>0</v>
      </c>
      <c r="N890">
        <f t="shared" si="55"/>
        <v>1</v>
      </c>
      <c r="P890" s="4">
        <f t="shared" si="52"/>
        <v>14</v>
      </c>
      <c r="Q890" s="4" t="str">
        <f t="shared" si="53"/>
        <v>Late Night</v>
      </c>
      <c r="R890" s="4" t="str">
        <f t="shared" si="54"/>
        <v>Low</v>
      </c>
    </row>
    <row r="891" spans="1:18">
      <c r="A891" t="s">
        <v>1142</v>
      </c>
      <c r="B891" s="2">
        <v>46183</v>
      </c>
      <c r="C891" s="3">
        <v>0.970138888888889</v>
      </c>
      <c r="D891" t="s">
        <v>590</v>
      </c>
      <c r="E891">
        <v>20</v>
      </c>
      <c r="F891" t="s">
        <v>31</v>
      </c>
      <c r="G891" t="s">
        <v>59</v>
      </c>
      <c r="H891" t="s">
        <v>7</v>
      </c>
      <c r="I891" t="s">
        <v>15</v>
      </c>
      <c r="J891" t="s">
        <v>24</v>
      </c>
      <c r="K891">
        <v>19</v>
      </c>
      <c r="L891" t="s">
        <v>49</v>
      </c>
      <c r="M891">
        <v>0</v>
      </c>
      <c r="N891">
        <f t="shared" si="55"/>
        <v>1</v>
      </c>
      <c r="P891" s="4">
        <f t="shared" si="52"/>
        <v>23</v>
      </c>
      <c r="Q891" s="4" t="str">
        <f t="shared" si="53"/>
        <v>Late Night</v>
      </c>
      <c r="R891" s="4" t="str">
        <f t="shared" si="54"/>
        <v>Low</v>
      </c>
    </row>
    <row r="892" spans="1:18">
      <c r="A892" t="s">
        <v>1143</v>
      </c>
      <c r="B892" s="2">
        <v>46183</v>
      </c>
      <c r="C892" s="3">
        <v>0.899305555555556</v>
      </c>
      <c r="D892" t="s">
        <v>221</v>
      </c>
      <c r="E892">
        <v>1331.01</v>
      </c>
      <c r="F892" t="s">
        <v>30</v>
      </c>
      <c r="G892" t="s">
        <v>48</v>
      </c>
      <c r="H892" t="s">
        <v>3</v>
      </c>
      <c r="I892" t="s">
        <v>15</v>
      </c>
      <c r="J892" t="s">
        <v>21</v>
      </c>
      <c r="K892">
        <v>23</v>
      </c>
      <c r="L892" t="s">
        <v>49</v>
      </c>
      <c r="M892">
        <v>0</v>
      </c>
      <c r="N892">
        <f t="shared" si="55"/>
        <v>1</v>
      </c>
      <c r="P892" s="4">
        <f t="shared" si="52"/>
        <v>21</v>
      </c>
      <c r="Q892" s="4" t="str">
        <f t="shared" si="53"/>
        <v>Late Night</v>
      </c>
      <c r="R892" s="4" t="str">
        <f t="shared" si="54"/>
        <v>Medium</v>
      </c>
    </row>
    <row r="893" spans="1:18">
      <c r="A893" t="s">
        <v>1144</v>
      </c>
      <c r="B893" s="2">
        <v>46183</v>
      </c>
      <c r="C893" s="3">
        <v>0.542361111111111</v>
      </c>
      <c r="D893" t="s">
        <v>131</v>
      </c>
      <c r="E893">
        <v>70.46</v>
      </c>
      <c r="F893" t="s">
        <v>29</v>
      </c>
      <c r="G893" t="s">
        <v>48</v>
      </c>
      <c r="H893" t="s">
        <v>3</v>
      </c>
      <c r="I893" t="s">
        <v>15</v>
      </c>
      <c r="J893" t="s">
        <v>18</v>
      </c>
      <c r="K893">
        <v>63</v>
      </c>
      <c r="L893" t="s">
        <v>159</v>
      </c>
      <c r="M893">
        <v>0</v>
      </c>
      <c r="N893">
        <f t="shared" si="55"/>
        <v>1</v>
      </c>
      <c r="P893" s="4">
        <f t="shared" si="52"/>
        <v>13</v>
      </c>
      <c r="Q893" s="4" t="str">
        <f t="shared" si="53"/>
        <v>Late Night</v>
      </c>
      <c r="R893" s="4" t="str">
        <f t="shared" si="54"/>
        <v>Low</v>
      </c>
    </row>
    <row r="894" spans="1:18">
      <c r="A894" t="s">
        <v>1145</v>
      </c>
      <c r="B894" s="2">
        <v>46183</v>
      </c>
      <c r="C894" s="3">
        <v>0.925694444444444</v>
      </c>
      <c r="D894" t="s">
        <v>84</v>
      </c>
      <c r="E894">
        <v>24.86</v>
      </c>
      <c r="F894" t="s">
        <v>31</v>
      </c>
      <c r="G894" t="s">
        <v>66</v>
      </c>
      <c r="H894" t="s">
        <v>5</v>
      </c>
      <c r="I894" t="s">
        <v>15</v>
      </c>
      <c r="J894" t="s">
        <v>23</v>
      </c>
      <c r="K894">
        <v>55</v>
      </c>
      <c r="L894" t="s">
        <v>159</v>
      </c>
      <c r="M894">
        <v>0</v>
      </c>
      <c r="N894">
        <f t="shared" si="55"/>
        <v>1</v>
      </c>
      <c r="P894" s="4">
        <f t="shared" si="52"/>
        <v>22</v>
      </c>
      <c r="Q894" s="4" t="str">
        <f t="shared" si="53"/>
        <v>Late Night</v>
      </c>
      <c r="R894" s="4" t="str">
        <f t="shared" si="54"/>
        <v>Low</v>
      </c>
    </row>
    <row r="895" spans="1:18">
      <c r="A895" t="s">
        <v>1146</v>
      </c>
      <c r="B895" s="2">
        <v>46183</v>
      </c>
      <c r="C895" s="3">
        <v>0.55</v>
      </c>
      <c r="D895" t="s">
        <v>167</v>
      </c>
      <c r="E895">
        <v>98.31</v>
      </c>
      <c r="F895" t="s">
        <v>28</v>
      </c>
      <c r="G895" t="s">
        <v>59</v>
      </c>
      <c r="H895" t="s">
        <v>8</v>
      </c>
      <c r="I895" t="s">
        <v>14</v>
      </c>
      <c r="J895" t="s">
        <v>18</v>
      </c>
      <c r="K895">
        <v>59</v>
      </c>
      <c r="L895" t="s">
        <v>49</v>
      </c>
      <c r="M895">
        <v>0</v>
      </c>
      <c r="N895">
        <f t="shared" si="55"/>
        <v>1</v>
      </c>
      <c r="P895" s="4">
        <f t="shared" si="52"/>
        <v>13</v>
      </c>
      <c r="Q895" s="4" t="str">
        <f t="shared" si="53"/>
        <v>Late Night</v>
      </c>
      <c r="R895" s="4" t="str">
        <f t="shared" si="54"/>
        <v>Low</v>
      </c>
    </row>
    <row r="896" spans="1:18">
      <c r="A896" t="s">
        <v>1147</v>
      </c>
      <c r="B896" s="2">
        <v>46184</v>
      </c>
      <c r="C896" s="3">
        <v>0.977777777777778</v>
      </c>
      <c r="D896" t="s">
        <v>683</v>
      </c>
      <c r="E896">
        <v>45.02</v>
      </c>
      <c r="F896" t="s">
        <v>29</v>
      </c>
      <c r="G896" t="s">
        <v>48</v>
      </c>
      <c r="H896" t="s">
        <v>4</v>
      </c>
      <c r="I896" t="s">
        <v>14</v>
      </c>
      <c r="J896" t="s">
        <v>21</v>
      </c>
      <c r="K896">
        <v>41</v>
      </c>
      <c r="L896" t="s">
        <v>49</v>
      </c>
      <c r="M896">
        <v>0</v>
      </c>
      <c r="N896">
        <f t="shared" si="55"/>
        <v>1</v>
      </c>
      <c r="P896" s="4">
        <f t="shared" si="52"/>
        <v>23</v>
      </c>
      <c r="Q896" s="4" t="str">
        <f t="shared" si="53"/>
        <v>Late Night</v>
      </c>
      <c r="R896" s="4" t="str">
        <f t="shared" si="54"/>
        <v>Low</v>
      </c>
    </row>
    <row r="897" spans="1:18">
      <c r="A897" t="s">
        <v>1148</v>
      </c>
      <c r="B897" s="2">
        <v>46184</v>
      </c>
      <c r="C897" s="3">
        <v>0.0493055555555556</v>
      </c>
      <c r="D897" t="s">
        <v>655</v>
      </c>
      <c r="E897">
        <v>99.01</v>
      </c>
      <c r="F897" t="s">
        <v>31</v>
      </c>
      <c r="G897" t="s">
        <v>48</v>
      </c>
      <c r="H897" t="s">
        <v>8</v>
      </c>
      <c r="I897" t="s">
        <v>15</v>
      </c>
      <c r="J897" t="s">
        <v>19</v>
      </c>
      <c r="K897">
        <v>35</v>
      </c>
      <c r="L897" t="s">
        <v>49</v>
      </c>
      <c r="M897">
        <v>0</v>
      </c>
      <c r="N897">
        <f t="shared" si="55"/>
        <v>1</v>
      </c>
      <c r="P897" s="4">
        <f t="shared" si="52"/>
        <v>1</v>
      </c>
      <c r="Q897" s="4" t="str">
        <f t="shared" si="53"/>
        <v>Late Night</v>
      </c>
      <c r="R897" s="4" t="str">
        <f t="shared" si="54"/>
        <v>Low</v>
      </c>
    </row>
    <row r="898" spans="1:18">
      <c r="A898" t="s">
        <v>1149</v>
      </c>
      <c r="B898" s="2">
        <v>46184</v>
      </c>
      <c r="C898" s="3">
        <v>0.526388888888889</v>
      </c>
      <c r="D898" t="s">
        <v>328</v>
      </c>
      <c r="E898">
        <v>188.9</v>
      </c>
      <c r="F898" t="s">
        <v>30</v>
      </c>
      <c r="G898" t="s">
        <v>48</v>
      </c>
      <c r="H898" t="s">
        <v>10</v>
      </c>
      <c r="I898" t="s">
        <v>14</v>
      </c>
      <c r="J898" t="s">
        <v>19</v>
      </c>
      <c r="K898">
        <v>44</v>
      </c>
      <c r="L898" t="s">
        <v>49</v>
      </c>
      <c r="M898">
        <v>0</v>
      </c>
      <c r="N898">
        <f t="shared" si="55"/>
        <v>1</v>
      </c>
      <c r="P898" s="4">
        <f t="shared" ref="P898:P961" si="56">HOUR(C898)</f>
        <v>12</v>
      </c>
      <c r="Q898" s="4" t="str">
        <f t="shared" ref="Q898:Q961" si="57">IF(N898&lt;6,"Late Night",IF(N898&lt;12,"Morning",IF(N898&lt;18,"Afternoon","Evening")))</f>
        <v>Late Night</v>
      </c>
      <c r="R898" s="4" t="str">
        <f t="shared" ref="R898:R961" si="58">IF(E898&lt;1000,"Low",IF(E898&lt;5000,"Medium",IF(E898&lt;15000,"High","Very High")))</f>
        <v>Low</v>
      </c>
    </row>
    <row r="899" spans="1:18">
      <c r="A899" t="s">
        <v>1150</v>
      </c>
      <c r="B899" s="2">
        <v>46184</v>
      </c>
      <c r="C899" s="3">
        <v>0.542361111111111</v>
      </c>
      <c r="D899" t="s">
        <v>528</v>
      </c>
      <c r="E899">
        <v>405.42</v>
      </c>
      <c r="F899" t="s">
        <v>30</v>
      </c>
      <c r="G899" t="s">
        <v>48</v>
      </c>
      <c r="H899" t="s">
        <v>7</v>
      </c>
      <c r="I899" t="s">
        <v>14</v>
      </c>
      <c r="J899" t="s">
        <v>22</v>
      </c>
      <c r="K899">
        <v>58</v>
      </c>
      <c r="L899" t="s">
        <v>49</v>
      </c>
      <c r="M899">
        <v>0</v>
      </c>
      <c r="N899">
        <f t="shared" ref="N899:N962" si="59">COUNTIF($A$2:$A$1001,A899)</f>
        <v>1</v>
      </c>
      <c r="P899" s="4">
        <f t="shared" si="56"/>
        <v>13</v>
      </c>
      <c r="Q899" s="4" t="str">
        <f t="shared" si="57"/>
        <v>Late Night</v>
      </c>
      <c r="R899" s="4" t="str">
        <f t="shared" si="58"/>
        <v>Low</v>
      </c>
    </row>
    <row r="900" spans="1:18">
      <c r="A900" t="s">
        <v>1151</v>
      </c>
      <c r="B900" s="2">
        <v>46184</v>
      </c>
      <c r="C900" s="3">
        <v>0.979861111111111</v>
      </c>
      <c r="D900" t="s">
        <v>410</v>
      </c>
      <c r="E900">
        <v>152.22</v>
      </c>
      <c r="F900" t="s">
        <v>28</v>
      </c>
      <c r="G900" t="s">
        <v>48</v>
      </c>
      <c r="H900" t="s">
        <v>4</v>
      </c>
      <c r="I900" t="s">
        <v>14</v>
      </c>
      <c r="J900" t="s">
        <v>18</v>
      </c>
      <c r="K900">
        <v>25</v>
      </c>
      <c r="L900" t="s">
        <v>49</v>
      </c>
      <c r="M900">
        <v>0</v>
      </c>
      <c r="N900">
        <f t="shared" si="59"/>
        <v>1</v>
      </c>
      <c r="P900" s="4">
        <f t="shared" si="56"/>
        <v>23</v>
      </c>
      <c r="Q900" s="4" t="str">
        <f t="shared" si="57"/>
        <v>Late Night</v>
      </c>
      <c r="R900" s="4" t="str">
        <f t="shared" si="58"/>
        <v>Low</v>
      </c>
    </row>
    <row r="901" spans="1:18">
      <c r="A901" t="s">
        <v>1152</v>
      </c>
      <c r="B901" s="2">
        <v>46184</v>
      </c>
      <c r="C901" s="3">
        <v>0.758333333333333</v>
      </c>
      <c r="D901" t="s">
        <v>89</v>
      </c>
      <c r="E901">
        <v>185.92</v>
      </c>
      <c r="F901" t="s">
        <v>32</v>
      </c>
      <c r="G901" t="s">
        <v>48</v>
      </c>
      <c r="H901" t="s">
        <v>9</v>
      </c>
      <c r="I901" t="s">
        <v>15</v>
      </c>
      <c r="J901" t="s">
        <v>19</v>
      </c>
      <c r="K901">
        <v>45</v>
      </c>
      <c r="L901" t="s">
        <v>49</v>
      </c>
      <c r="M901">
        <v>0</v>
      </c>
      <c r="N901">
        <f t="shared" si="59"/>
        <v>1</v>
      </c>
      <c r="P901" s="4">
        <f t="shared" si="56"/>
        <v>18</v>
      </c>
      <c r="Q901" s="4" t="str">
        <f t="shared" si="57"/>
        <v>Late Night</v>
      </c>
      <c r="R901" s="4" t="str">
        <f t="shared" si="58"/>
        <v>Low</v>
      </c>
    </row>
    <row r="902" spans="1:18">
      <c r="A902" t="s">
        <v>1153</v>
      </c>
      <c r="B902" s="2">
        <v>46185</v>
      </c>
      <c r="C902" s="3">
        <v>0.28125</v>
      </c>
      <c r="D902" t="s">
        <v>108</v>
      </c>
      <c r="E902">
        <v>101.33</v>
      </c>
      <c r="F902" t="s">
        <v>28</v>
      </c>
      <c r="G902" t="s">
        <v>54</v>
      </c>
      <c r="H902" t="s">
        <v>6</v>
      </c>
      <c r="I902" t="s">
        <v>15</v>
      </c>
      <c r="J902" t="s">
        <v>24</v>
      </c>
      <c r="K902">
        <v>27</v>
      </c>
      <c r="L902" t="s">
        <v>49</v>
      </c>
      <c r="M902">
        <v>0</v>
      </c>
      <c r="N902">
        <f t="shared" si="59"/>
        <v>1</v>
      </c>
      <c r="P902" s="4">
        <f t="shared" si="56"/>
        <v>6</v>
      </c>
      <c r="Q902" s="4" t="str">
        <f t="shared" si="57"/>
        <v>Late Night</v>
      </c>
      <c r="R902" s="4" t="str">
        <f t="shared" si="58"/>
        <v>Low</v>
      </c>
    </row>
    <row r="903" spans="1:18">
      <c r="A903" t="s">
        <v>1154</v>
      </c>
      <c r="B903" s="2">
        <v>46185</v>
      </c>
      <c r="C903" s="3">
        <v>0.101388888888889</v>
      </c>
      <c r="D903" t="s">
        <v>182</v>
      </c>
      <c r="E903">
        <v>39.98</v>
      </c>
      <c r="F903" t="s">
        <v>32</v>
      </c>
      <c r="G903" t="s">
        <v>59</v>
      </c>
      <c r="H903" t="s">
        <v>4</v>
      </c>
      <c r="I903" t="s">
        <v>16</v>
      </c>
      <c r="J903" t="s">
        <v>19</v>
      </c>
      <c r="K903">
        <v>34</v>
      </c>
      <c r="L903" t="s">
        <v>49</v>
      </c>
      <c r="M903">
        <v>0</v>
      </c>
      <c r="N903">
        <f t="shared" si="59"/>
        <v>1</v>
      </c>
      <c r="P903" s="4">
        <f t="shared" si="56"/>
        <v>2</v>
      </c>
      <c r="Q903" s="4" t="str">
        <f t="shared" si="57"/>
        <v>Late Night</v>
      </c>
      <c r="R903" s="4" t="str">
        <f t="shared" si="58"/>
        <v>Low</v>
      </c>
    </row>
    <row r="904" spans="1:18">
      <c r="A904" t="s">
        <v>1155</v>
      </c>
      <c r="B904" s="2">
        <v>46185</v>
      </c>
      <c r="C904" s="3">
        <v>0.616666666666667</v>
      </c>
      <c r="D904" t="s">
        <v>178</v>
      </c>
      <c r="E904">
        <v>28.6</v>
      </c>
      <c r="F904" t="s">
        <v>29</v>
      </c>
      <c r="G904" t="s">
        <v>59</v>
      </c>
      <c r="H904" t="s">
        <v>4</v>
      </c>
      <c r="I904" t="s">
        <v>15</v>
      </c>
      <c r="J904" t="s">
        <v>19</v>
      </c>
      <c r="K904">
        <v>46</v>
      </c>
      <c r="L904" t="s">
        <v>49</v>
      </c>
      <c r="M904">
        <v>0</v>
      </c>
      <c r="N904">
        <f t="shared" si="59"/>
        <v>1</v>
      </c>
      <c r="P904" s="4">
        <f t="shared" si="56"/>
        <v>14</v>
      </c>
      <c r="Q904" s="4" t="str">
        <f t="shared" si="57"/>
        <v>Late Night</v>
      </c>
      <c r="R904" s="4" t="str">
        <f t="shared" si="58"/>
        <v>Low</v>
      </c>
    </row>
    <row r="905" spans="1:18">
      <c r="A905" t="s">
        <v>1156</v>
      </c>
      <c r="B905" s="2">
        <v>46185</v>
      </c>
      <c r="C905" s="3">
        <v>0.944444444444444</v>
      </c>
      <c r="D905" t="s">
        <v>243</v>
      </c>
      <c r="E905">
        <v>125.9</v>
      </c>
      <c r="F905" t="s">
        <v>29</v>
      </c>
      <c r="G905" t="s">
        <v>59</v>
      </c>
      <c r="H905" t="s">
        <v>8</v>
      </c>
      <c r="I905" t="s">
        <v>15</v>
      </c>
      <c r="J905" t="s">
        <v>19</v>
      </c>
      <c r="K905">
        <v>23</v>
      </c>
      <c r="L905" t="s">
        <v>49</v>
      </c>
      <c r="M905">
        <v>0</v>
      </c>
      <c r="N905">
        <f t="shared" si="59"/>
        <v>1</v>
      </c>
      <c r="P905" s="4">
        <f t="shared" si="56"/>
        <v>22</v>
      </c>
      <c r="Q905" s="4" t="str">
        <f t="shared" si="57"/>
        <v>Late Night</v>
      </c>
      <c r="R905" s="4" t="str">
        <f t="shared" si="58"/>
        <v>Low</v>
      </c>
    </row>
    <row r="906" spans="1:18">
      <c r="A906" t="s">
        <v>1157</v>
      </c>
      <c r="B906" s="2">
        <v>46185</v>
      </c>
      <c r="C906" s="3">
        <v>0.552777777777778</v>
      </c>
      <c r="D906" t="s">
        <v>609</v>
      </c>
      <c r="E906">
        <v>197.28</v>
      </c>
      <c r="F906" t="s">
        <v>31</v>
      </c>
      <c r="G906" t="s">
        <v>48</v>
      </c>
      <c r="H906" t="s">
        <v>8</v>
      </c>
      <c r="I906" t="s">
        <v>15</v>
      </c>
      <c r="J906" t="s">
        <v>19</v>
      </c>
      <c r="K906">
        <v>31</v>
      </c>
      <c r="L906" t="s">
        <v>49</v>
      </c>
      <c r="M906">
        <v>0</v>
      </c>
      <c r="N906">
        <f t="shared" si="59"/>
        <v>1</v>
      </c>
      <c r="P906" s="4">
        <f t="shared" si="56"/>
        <v>13</v>
      </c>
      <c r="Q906" s="4" t="str">
        <f t="shared" si="57"/>
        <v>Late Night</v>
      </c>
      <c r="R906" s="4" t="str">
        <f t="shared" si="58"/>
        <v>Low</v>
      </c>
    </row>
    <row r="907" spans="1:18">
      <c r="A907" t="s">
        <v>1158</v>
      </c>
      <c r="B907" s="2">
        <v>46186</v>
      </c>
      <c r="C907" s="3">
        <v>0.44375</v>
      </c>
      <c r="D907" t="s">
        <v>636</v>
      </c>
      <c r="E907">
        <v>116.91</v>
      </c>
      <c r="F907" t="s">
        <v>30</v>
      </c>
      <c r="G907" t="s">
        <v>71</v>
      </c>
      <c r="H907" t="s">
        <v>3</v>
      </c>
      <c r="I907" t="s">
        <v>15</v>
      </c>
      <c r="J907" t="s">
        <v>23</v>
      </c>
      <c r="K907">
        <v>39</v>
      </c>
      <c r="L907" t="s">
        <v>49</v>
      </c>
      <c r="M907">
        <v>0</v>
      </c>
      <c r="N907">
        <f t="shared" si="59"/>
        <v>1</v>
      </c>
      <c r="P907" s="4">
        <f t="shared" si="56"/>
        <v>10</v>
      </c>
      <c r="Q907" s="4" t="str">
        <f t="shared" si="57"/>
        <v>Late Night</v>
      </c>
      <c r="R907" s="4" t="str">
        <f t="shared" si="58"/>
        <v>Low</v>
      </c>
    </row>
    <row r="908" spans="1:18">
      <c r="A908" t="s">
        <v>1159</v>
      </c>
      <c r="B908" s="2">
        <v>46186</v>
      </c>
      <c r="C908" s="3">
        <v>0.604166666666667</v>
      </c>
      <c r="D908" t="s">
        <v>95</v>
      </c>
      <c r="E908">
        <v>29.69</v>
      </c>
      <c r="F908" t="s">
        <v>28</v>
      </c>
      <c r="G908" t="s">
        <v>66</v>
      </c>
      <c r="H908" t="s">
        <v>6</v>
      </c>
      <c r="I908" t="s">
        <v>15</v>
      </c>
      <c r="J908" t="s">
        <v>23</v>
      </c>
      <c r="K908">
        <v>23</v>
      </c>
      <c r="L908" t="s">
        <v>49</v>
      </c>
      <c r="M908">
        <v>0</v>
      </c>
      <c r="N908">
        <f t="shared" si="59"/>
        <v>1</v>
      </c>
      <c r="P908" s="4">
        <f t="shared" si="56"/>
        <v>14</v>
      </c>
      <c r="Q908" s="4" t="str">
        <f t="shared" si="57"/>
        <v>Late Night</v>
      </c>
      <c r="R908" s="4" t="str">
        <f t="shared" si="58"/>
        <v>Low</v>
      </c>
    </row>
    <row r="909" spans="1:18">
      <c r="A909" t="s">
        <v>1160</v>
      </c>
      <c r="B909" s="2">
        <v>46186</v>
      </c>
      <c r="C909" s="3">
        <v>0.522916666666667</v>
      </c>
      <c r="D909" t="s">
        <v>594</v>
      </c>
      <c r="E909">
        <v>221.72</v>
      </c>
      <c r="F909" t="s">
        <v>31</v>
      </c>
      <c r="G909" t="s">
        <v>66</v>
      </c>
      <c r="H909" t="s">
        <v>7</v>
      </c>
      <c r="I909" t="s">
        <v>15</v>
      </c>
      <c r="J909" t="s">
        <v>22</v>
      </c>
      <c r="K909">
        <v>43</v>
      </c>
      <c r="L909" t="s">
        <v>49</v>
      </c>
      <c r="M909">
        <v>0</v>
      </c>
      <c r="N909">
        <f t="shared" si="59"/>
        <v>1</v>
      </c>
      <c r="P909" s="4">
        <f t="shared" si="56"/>
        <v>12</v>
      </c>
      <c r="Q909" s="4" t="str">
        <f t="shared" si="57"/>
        <v>Late Night</v>
      </c>
      <c r="R909" s="4" t="str">
        <f t="shared" si="58"/>
        <v>Low</v>
      </c>
    </row>
    <row r="910" spans="1:18">
      <c r="A910" t="s">
        <v>1161</v>
      </c>
      <c r="B910" s="2">
        <v>46186</v>
      </c>
      <c r="C910" s="3">
        <v>0.749305555555556</v>
      </c>
      <c r="D910" t="s">
        <v>499</v>
      </c>
      <c r="E910">
        <v>924.55</v>
      </c>
      <c r="F910" t="s">
        <v>31</v>
      </c>
      <c r="G910" t="s">
        <v>66</v>
      </c>
      <c r="H910" t="s">
        <v>4</v>
      </c>
      <c r="I910" t="s">
        <v>15</v>
      </c>
      <c r="J910" t="s">
        <v>19</v>
      </c>
      <c r="K910">
        <v>56</v>
      </c>
      <c r="L910" t="s">
        <v>49</v>
      </c>
      <c r="M910">
        <v>0</v>
      </c>
      <c r="N910">
        <f t="shared" si="59"/>
        <v>1</v>
      </c>
      <c r="P910" s="4">
        <f t="shared" si="56"/>
        <v>17</v>
      </c>
      <c r="Q910" s="4" t="str">
        <f t="shared" si="57"/>
        <v>Late Night</v>
      </c>
      <c r="R910" s="4" t="str">
        <f t="shared" si="58"/>
        <v>Low</v>
      </c>
    </row>
    <row r="911" spans="1:18">
      <c r="A911" t="s">
        <v>1162</v>
      </c>
      <c r="B911" s="2">
        <v>46186</v>
      </c>
      <c r="C911" s="3">
        <v>0.224305555555556</v>
      </c>
      <c r="D911" t="s">
        <v>303</v>
      </c>
      <c r="E911">
        <v>161.64</v>
      </c>
      <c r="F911" t="s">
        <v>28</v>
      </c>
      <c r="G911" t="s">
        <v>71</v>
      </c>
      <c r="H911" t="s">
        <v>3</v>
      </c>
      <c r="I911" t="s">
        <v>14</v>
      </c>
      <c r="J911" t="s">
        <v>18</v>
      </c>
      <c r="K911">
        <v>29</v>
      </c>
      <c r="L911" t="s">
        <v>49</v>
      </c>
      <c r="M911">
        <v>0</v>
      </c>
      <c r="N911">
        <f t="shared" si="59"/>
        <v>1</v>
      </c>
      <c r="P911" s="4">
        <f t="shared" si="56"/>
        <v>5</v>
      </c>
      <c r="Q911" s="4" t="str">
        <f t="shared" si="57"/>
        <v>Late Night</v>
      </c>
      <c r="R911" s="4" t="str">
        <f t="shared" si="58"/>
        <v>Low</v>
      </c>
    </row>
    <row r="912" spans="1:18">
      <c r="A912" t="s">
        <v>1163</v>
      </c>
      <c r="B912" s="2">
        <v>46186</v>
      </c>
      <c r="C912" s="3">
        <v>0.113888888888889</v>
      </c>
      <c r="D912" t="s">
        <v>89</v>
      </c>
      <c r="E912">
        <v>101.54</v>
      </c>
      <c r="F912" t="s">
        <v>28</v>
      </c>
      <c r="G912" t="s">
        <v>59</v>
      </c>
      <c r="H912" t="s">
        <v>8</v>
      </c>
      <c r="I912" t="s">
        <v>14</v>
      </c>
      <c r="J912" t="s">
        <v>21</v>
      </c>
      <c r="K912">
        <v>52</v>
      </c>
      <c r="L912" t="s">
        <v>168</v>
      </c>
      <c r="M912">
        <v>1</v>
      </c>
      <c r="N912">
        <f t="shared" si="59"/>
        <v>1</v>
      </c>
      <c r="P912" s="4">
        <f t="shared" si="56"/>
        <v>2</v>
      </c>
      <c r="Q912" s="4" t="str">
        <f t="shared" si="57"/>
        <v>Late Night</v>
      </c>
      <c r="R912" s="4" t="str">
        <f t="shared" si="58"/>
        <v>Low</v>
      </c>
    </row>
    <row r="913" spans="1:18">
      <c r="A913" t="s">
        <v>1164</v>
      </c>
      <c r="B913" s="2">
        <v>46187</v>
      </c>
      <c r="C913" s="3">
        <v>0.773611111111111</v>
      </c>
      <c r="D913" t="s">
        <v>713</v>
      </c>
      <c r="E913">
        <v>170.63</v>
      </c>
      <c r="F913" t="s">
        <v>29</v>
      </c>
      <c r="G913" t="s">
        <v>48</v>
      </c>
      <c r="H913" t="s">
        <v>5</v>
      </c>
      <c r="I913" t="s">
        <v>15</v>
      </c>
      <c r="J913" t="s">
        <v>22</v>
      </c>
      <c r="K913">
        <v>31</v>
      </c>
      <c r="L913" t="s">
        <v>49</v>
      </c>
      <c r="M913">
        <v>0</v>
      </c>
      <c r="N913">
        <f t="shared" si="59"/>
        <v>1</v>
      </c>
      <c r="P913" s="4">
        <f t="shared" si="56"/>
        <v>18</v>
      </c>
      <c r="Q913" s="4" t="str">
        <f t="shared" si="57"/>
        <v>Late Night</v>
      </c>
      <c r="R913" s="4" t="str">
        <f t="shared" si="58"/>
        <v>Low</v>
      </c>
    </row>
    <row r="914" spans="1:18">
      <c r="A914" t="s">
        <v>1165</v>
      </c>
      <c r="B914" s="2">
        <v>46187</v>
      </c>
      <c r="C914" s="3">
        <v>0.615972222222222</v>
      </c>
      <c r="D914" t="s">
        <v>636</v>
      </c>
      <c r="E914">
        <v>60.08</v>
      </c>
      <c r="F914" t="s">
        <v>30</v>
      </c>
      <c r="G914" t="s">
        <v>59</v>
      </c>
      <c r="H914" t="s">
        <v>6</v>
      </c>
      <c r="I914" t="s">
        <v>16</v>
      </c>
      <c r="J914" t="s">
        <v>18</v>
      </c>
      <c r="K914">
        <v>39</v>
      </c>
      <c r="L914" t="s">
        <v>49</v>
      </c>
      <c r="M914">
        <v>0</v>
      </c>
      <c r="N914">
        <f t="shared" si="59"/>
        <v>1</v>
      </c>
      <c r="P914" s="4">
        <f t="shared" si="56"/>
        <v>14</v>
      </c>
      <c r="Q914" s="4" t="str">
        <f t="shared" si="57"/>
        <v>Late Night</v>
      </c>
      <c r="R914" s="4" t="str">
        <f t="shared" si="58"/>
        <v>Low</v>
      </c>
    </row>
    <row r="915" spans="1:18">
      <c r="A915" t="s">
        <v>1166</v>
      </c>
      <c r="B915" s="2">
        <v>46187</v>
      </c>
      <c r="C915" s="3">
        <v>0.920138888888889</v>
      </c>
      <c r="D915" t="s">
        <v>319</v>
      </c>
      <c r="E915">
        <v>56.32</v>
      </c>
      <c r="F915" t="s">
        <v>31</v>
      </c>
      <c r="G915" t="s">
        <v>66</v>
      </c>
      <c r="H915" t="s">
        <v>3</v>
      </c>
      <c r="I915" t="s">
        <v>15</v>
      </c>
      <c r="J915" t="s">
        <v>19</v>
      </c>
      <c r="K915">
        <v>40</v>
      </c>
      <c r="L915" t="s">
        <v>49</v>
      </c>
      <c r="M915">
        <v>0</v>
      </c>
      <c r="N915">
        <f t="shared" si="59"/>
        <v>1</v>
      </c>
      <c r="P915" s="4">
        <f t="shared" si="56"/>
        <v>22</v>
      </c>
      <c r="Q915" s="4" t="str">
        <f t="shared" si="57"/>
        <v>Late Night</v>
      </c>
      <c r="R915" s="4" t="str">
        <f t="shared" si="58"/>
        <v>Low</v>
      </c>
    </row>
    <row r="916" spans="1:18">
      <c r="A916" t="s">
        <v>1167</v>
      </c>
      <c r="B916" s="2">
        <v>46187</v>
      </c>
      <c r="C916" s="3">
        <v>0.179166666666667</v>
      </c>
      <c r="D916" t="s">
        <v>410</v>
      </c>
      <c r="E916">
        <v>284.69</v>
      </c>
      <c r="F916" t="s">
        <v>29</v>
      </c>
      <c r="G916" t="s">
        <v>59</v>
      </c>
      <c r="H916" t="s">
        <v>3</v>
      </c>
      <c r="I916" t="s">
        <v>15</v>
      </c>
      <c r="J916" t="s">
        <v>20</v>
      </c>
      <c r="K916">
        <v>65</v>
      </c>
      <c r="L916" t="s">
        <v>168</v>
      </c>
      <c r="M916">
        <v>1</v>
      </c>
      <c r="N916">
        <f t="shared" si="59"/>
        <v>1</v>
      </c>
      <c r="P916" s="4">
        <f t="shared" si="56"/>
        <v>4</v>
      </c>
      <c r="Q916" s="4" t="str">
        <f t="shared" si="57"/>
        <v>Late Night</v>
      </c>
      <c r="R916" s="4" t="str">
        <f t="shared" si="58"/>
        <v>Low</v>
      </c>
    </row>
    <row r="917" spans="1:18">
      <c r="A917" t="s">
        <v>1168</v>
      </c>
      <c r="B917" s="2">
        <v>46187</v>
      </c>
      <c r="C917" s="3">
        <v>0.395138888888889</v>
      </c>
      <c r="D917" t="s">
        <v>277</v>
      </c>
      <c r="E917">
        <v>488</v>
      </c>
      <c r="F917" t="s">
        <v>31</v>
      </c>
      <c r="G917" t="s">
        <v>59</v>
      </c>
      <c r="H917" t="s">
        <v>10</v>
      </c>
      <c r="I917" t="s">
        <v>14</v>
      </c>
      <c r="J917" t="s">
        <v>19</v>
      </c>
      <c r="K917">
        <v>24</v>
      </c>
      <c r="L917" t="s">
        <v>49</v>
      </c>
      <c r="M917">
        <v>0</v>
      </c>
      <c r="N917">
        <f t="shared" si="59"/>
        <v>1</v>
      </c>
      <c r="P917" s="4">
        <f t="shared" si="56"/>
        <v>9</v>
      </c>
      <c r="Q917" s="4" t="str">
        <f t="shared" si="57"/>
        <v>Late Night</v>
      </c>
      <c r="R917" s="4" t="str">
        <f t="shared" si="58"/>
        <v>Low</v>
      </c>
    </row>
    <row r="918" spans="1:18">
      <c r="A918" t="s">
        <v>1169</v>
      </c>
      <c r="B918" s="2">
        <v>46188</v>
      </c>
      <c r="C918" s="3">
        <v>0.254166666666667</v>
      </c>
      <c r="D918" t="s">
        <v>430</v>
      </c>
      <c r="E918">
        <v>156.48</v>
      </c>
      <c r="F918" t="s">
        <v>30</v>
      </c>
      <c r="G918" t="s">
        <v>48</v>
      </c>
      <c r="H918" t="s">
        <v>3</v>
      </c>
      <c r="I918" t="s">
        <v>14</v>
      </c>
      <c r="J918" t="s">
        <v>23</v>
      </c>
      <c r="K918">
        <v>57</v>
      </c>
      <c r="L918" t="s">
        <v>49</v>
      </c>
      <c r="M918">
        <v>0</v>
      </c>
      <c r="N918">
        <f t="shared" si="59"/>
        <v>1</v>
      </c>
      <c r="P918" s="4">
        <f t="shared" si="56"/>
        <v>6</v>
      </c>
      <c r="Q918" s="4" t="str">
        <f t="shared" si="57"/>
        <v>Late Night</v>
      </c>
      <c r="R918" s="4" t="str">
        <f t="shared" si="58"/>
        <v>Low</v>
      </c>
    </row>
    <row r="919" spans="1:18">
      <c r="A919" t="s">
        <v>1170</v>
      </c>
      <c r="B919" s="2">
        <v>46188</v>
      </c>
      <c r="C919" s="3">
        <v>0.672916666666667</v>
      </c>
      <c r="D919" t="s">
        <v>773</v>
      </c>
      <c r="E919">
        <v>25.18</v>
      </c>
      <c r="F919" t="s">
        <v>30</v>
      </c>
      <c r="G919" t="s">
        <v>54</v>
      </c>
      <c r="H919" t="s">
        <v>10</v>
      </c>
      <c r="I919" t="s">
        <v>16</v>
      </c>
      <c r="J919" t="s">
        <v>21</v>
      </c>
      <c r="K919">
        <v>42</v>
      </c>
      <c r="L919" t="s">
        <v>49</v>
      </c>
      <c r="M919">
        <v>0</v>
      </c>
      <c r="N919">
        <f t="shared" si="59"/>
        <v>1</v>
      </c>
      <c r="P919" s="4">
        <f t="shared" si="56"/>
        <v>16</v>
      </c>
      <c r="Q919" s="4" t="str">
        <f t="shared" si="57"/>
        <v>Late Night</v>
      </c>
      <c r="R919" s="4" t="str">
        <f t="shared" si="58"/>
        <v>Low</v>
      </c>
    </row>
    <row r="920" spans="1:18">
      <c r="A920" t="s">
        <v>1171</v>
      </c>
      <c r="B920" s="2">
        <v>46188</v>
      </c>
      <c r="C920" s="3">
        <v>0.277777777777778</v>
      </c>
      <c r="D920" t="s">
        <v>51</v>
      </c>
      <c r="E920">
        <v>258.1</v>
      </c>
      <c r="F920" t="s">
        <v>28</v>
      </c>
      <c r="G920" t="s">
        <v>71</v>
      </c>
      <c r="H920" t="s">
        <v>4</v>
      </c>
      <c r="I920" t="s">
        <v>15</v>
      </c>
      <c r="J920" t="s">
        <v>24</v>
      </c>
      <c r="K920">
        <v>30</v>
      </c>
      <c r="L920" t="s">
        <v>159</v>
      </c>
      <c r="M920">
        <v>0</v>
      </c>
      <c r="N920">
        <f t="shared" si="59"/>
        <v>1</v>
      </c>
      <c r="P920" s="4">
        <f t="shared" si="56"/>
        <v>6</v>
      </c>
      <c r="Q920" s="4" t="str">
        <f t="shared" si="57"/>
        <v>Late Night</v>
      </c>
      <c r="R920" s="4" t="str">
        <f t="shared" si="58"/>
        <v>Low</v>
      </c>
    </row>
    <row r="921" spans="1:18">
      <c r="A921" t="s">
        <v>1172</v>
      </c>
      <c r="B921" s="2">
        <v>46188</v>
      </c>
      <c r="C921" s="3">
        <v>0.896527777777778</v>
      </c>
      <c r="D921" t="s">
        <v>127</v>
      </c>
      <c r="E921">
        <v>1432.79</v>
      </c>
      <c r="F921" t="s">
        <v>29</v>
      </c>
      <c r="G921" t="s">
        <v>59</v>
      </c>
      <c r="H921" t="s">
        <v>4</v>
      </c>
      <c r="I921" t="s">
        <v>14</v>
      </c>
      <c r="J921" t="s">
        <v>21</v>
      </c>
      <c r="K921">
        <v>38</v>
      </c>
      <c r="L921" t="s">
        <v>49</v>
      </c>
      <c r="M921">
        <v>0</v>
      </c>
      <c r="N921">
        <f t="shared" si="59"/>
        <v>1</v>
      </c>
      <c r="P921" s="4">
        <f t="shared" si="56"/>
        <v>21</v>
      </c>
      <c r="Q921" s="4" t="str">
        <f t="shared" si="57"/>
        <v>Late Night</v>
      </c>
      <c r="R921" s="4" t="str">
        <f t="shared" si="58"/>
        <v>Medium</v>
      </c>
    </row>
    <row r="922" spans="1:18">
      <c r="A922" t="s">
        <v>1173</v>
      </c>
      <c r="B922" s="2">
        <v>46188</v>
      </c>
      <c r="C922" s="3">
        <v>0.48125</v>
      </c>
      <c r="D922" t="s">
        <v>361</v>
      </c>
      <c r="E922">
        <v>142.04</v>
      </c>
      <c r="F922" t="s">
        <v>31</v>
      </c>
      <c r="G922" t="s">
        <v>59</v>
      </c>
      <c r="H922" t="s">
        <v>8</v>
      </c>
      <c r="I922" t="s">
        <v>15</v>
      </c>
      <c r="J922" t="s">
        <v>24</v>
      </c>
      <c r="K922">
        <v>58</v>
      </c>
      <c r="L922" t="s">
        <v>49</v>
      </c>
      <c r="M922">
        <v>0</v>
      </c>
      <c r="N922">
        <f t="shared" si="59"/>
        <v>1</v>
      </c>
      <c r="P922" s="4">
        <f t="shared" si="56"/>
        <v>11</v>
      </c>
      <c r="Q922" s="4" t="str">
        <f t="shared" si="57"/>
        <v>Late Night</v>
      </c>
      <c r="R922" s="4" t="str">
        <f t="shared" si="58"/>
        <v>Low</v>
      </c>
    </row>
    <row r="923" spans="1:18">
      <c r="A923" t="s">
        <v>1174</v>
      </c>
      <c r="B923" s="2">
        <v>46188</v>
      </c>
      <c r="C923" s="3">
        <v>0.685416666666667</v>
      </c>
      <c r="D923" t="s">
        <v>87</v>
      </c>
      <c r="E923">
        <v>151.74</v>
      </c>
      <c r="F923" t="s">
        <v>28</v>
      </c>
      <c r="G923" t="s">
        <v>48</v>
      </c>
      <c r="H923" t="s">
        <v>5</v>
      </c>
      <c r="I923" t="s">
        <v>15</v>
      </c>
      <c r="J923" t="s">
        <v>21</v>
      </c>
      <c r="K923">
        <v>27</v>
      </c>
      <c r="L923" t="s">
        <v>49</v>
      </c>
      <c r="M923">
        <v>0</v>
      </c>
      <c r="N923">
        <f t="shared" si="59"/>
        <v>1</v>
      </c>
      <c r="P923" s="4">
        <f t="shared" si="56"/>
        <v>16</v>
      </c>
      <c r="Q923" s="4" t="str">
        <f t="shared" si="57"/>
        <v>Late Night</v>
      </c>
      <c r="R923" s="4" t="str">
        <f t="shared" si="58"/>
        <v>Low</v>
      </c>
    </row>
    <row r="924" spans="1:18">
      <c r="A924" t="s">
        <v>1175</v>
      </c>
      <c r="B924" s="2">
        <v>46189</v>
      </c>
      <c r="C924" s="3">
        <v>0.540972222222222</v>
      </c>
      <c r="D924" t="s">
        <v>921</v>
      </c>
      <c r="E924">
        <v>75.74</v>
      </c>
      <c r="F924" t="s">
        <v>30</v>
      </c>
      <c r="G924" t="s">
        <v>54</v>
      </c>
      <c r="H924" t="s">
        <v>9</v>
      </c>
      <c r="I924" t="s">
        <v>14</v>
      </c>
      <c r="J924" t="s">
        <v>23</v>
      </c>
      <c r="K924">
        <v>26</v>
      </c>
      <c r="L924" t="s">
        <v>49</v>
      </c>
      <c r="M924">
        <v>0</v>
      </c>
      <c r="N924">
        <f t="shared" si="59"/>
        <v>1</v>
      </c>
      <c r="P924" s="4">
        <f t="shared" si="56"/>
        <v>12</v>
      </c>
      <c r="Q924" s="4" t="str">
        <f t="shared" si="57"/>
        <v>Late Night</v>
      </c>
      <c r="R924" s="4" t="str">
        <f t="shared" si="58"/>
        <v>Low</v>
      </c>
    </row>
    <row r="925" spans="1:18">
      <c r="A925" t="s">
        <v>1176</v>
      </c>
      <c r="B925" s="2">
        <v>46189</v>
      </c>
      <c r="C925" s="3">
        <v>0.801388888888889</v>
      </c>
      <c r="D925" t="s">
        <v>364</v>
      </c>
      <c r="E925">
        <v>293.35</v>
      </c>
      <c r="F925" t="s">
        <v>28</v>
      </c>
      <c r="G925" t="s">
        <v>71</v>
      </c>
      <c r="H925" t="s">
        <v>9</v>
      </c>
      <c r="I925" t="s">
        <v>15</v>
      </c>
      <c r="J925" t="s">
        <v>24</v>
      </c>
      <c r="K925">
        <v>32</v>
      </c>
      <c r="L925" t="s">
        <v>49</v>
      </c>
      <c r="M925">
        <v>0</v>
      </c>
      <c r="N925">
        <f t="shared" si="59"/>
        <v>1</v>
      </c>
      <c r="P925" s="4">
        <f t="shared" si="56"/>
        <v>19</v>
      </c>
      <c r="Q925" s="4" t="str">
        <f t="shared" si="57"/>
        <v>Late Night</v>
      </c>
      <c r="R925" s="4" t="str">
        <f t="shared" si="58"/>
        <v>Low</v>
      </c>
    </row>
    <row r="926" spans="1:18">
      <c r="A926" t="s">
        <v>1177</v>
      </c>
      <c r="B926" s="2">
        <v>46189</v>
      </c>
      <c r="C926" s="3">
        <v>0.145138888888889</v>
      </c>
      <c r="D926" t="s">
        <v>203</v>
      </c>
      <c r="E926">
        <v>92.67</v>
      </c>
      <c r="F926" t="s">
        <v>31</v>
      </c>
      <c r="G926" t="s">
        <v>59</v>
      </c>
      <c r="H926" t="s">
        <v>9</v>
      </c>
      <c r="I926" t="s">
        <v>15</v>
      </c>
      <c r="J926" t="s">
        <v>18</v>
      </c>
      <c r="K926">
        <v>19</v>
      </c>
      <c r="L926" t="s">
        <v>85</v>
      </c>
      <c r="M926">
        <v>1</v>
      </c>
      <c r="N926">
        <f t="shared" si="59"/>
        <v>1</v>
      </c>
      <c r="P926" s="4">
        <f t="shared" si="56"/>
        <v>3</v>
      </c>
      <c r="Q926" s="4" t="str">
        <f t="shared" si="57"/>
        <v>Late Night</v>
      </c>
      <c r="R926" s="4" t="str">
        <f t="shared" si="58"/>
        <v>Low</v>
      </c>
    </row>
    <row r="927" spans="1:18">
      <c r="A927" t="s">
        <v>1178</v>
      </c>
      <c r="B927" s="2">
        <v>46189</v>
      </c>
      <c r="C927" s="3">
        <v>0.4</v>
      </c>
      <c r="D927" t="s">
        <v>655</v>
      </c>
      <c r="E927">
        <v>503.46</v>
      </c>
      <c r="F927" t="s">
        <v>28</v>
      </c>
      <c r="G927" t="s">
        <v>66</v>
      </c>
      <c r="H927" t="s">
        <v>8</v>
      </c>
      <c r="I927" t="s">
        <v>14</v>
      </c>
      <c r="J927" t="s">
        <v>24</v>
      </c>
      <c r="K927">
        <v>42</v>
      </c>
      <c r="L927" t="s">
        <v>49</v>
      </c>
      <c r="M927">
        <v>0</v>
      </c>
      <c r="N927">
        <f t="shared" si="59"/>
        <v>1</v>
      </c>
      <c r="P927" s="4">
        <f t="shared" si="56"/>
        <v>9</v>
      </c>
      <c r="Q927" s="4" t="str">
        <f t="shared" si="57"/>
        <v>Late Night</v>
      </c>
      <c r="R927" s="4" t="str">
        <f t="shared" si="58"/>
        <v>Low</v>
      </c>
    </row>
    <row r="928" spans="1:18">
      <c r="A928" t="s">
        <v>1179</v>
      </c>
      <c r="B928" s="2">
        <v>46189</v>
      </c>
      <c r="C928" s="3">
        <v>0.102777777777778</v>
      </c>
      <c r="D928" t="s">
        <v>511</v>
      </c>
      <c r="E928">
        <v>93.92</v>
      </c>
      <c r="F928" t="s">
        <v>30</v>
      </c>
      <c r="G928" t="s">
        <v>54</v>
      </c>
      <c r="H928" t="s">
        <v>10</v>
      </c>
      <c r="I928" t="s">
        <v>15</v>
      </c>
      <c r="J928" t="s">
        <v>22</v>
      </c>
      <c r="K928">
        <v>30</v>
      </c>
      <c r="L928" t="s">
        <v>49</v>
      </c>
      <c r="M928">
        <v>1</v>
      </c>
      <c r="N928">
        <f t="shared" si="59"/>
        <v>1</v>
      </c>
      <c r="P928" s="4">
        <f t="shared" si="56"/>
        <v>2</v>
      </c>
      <c r="Q928" s="4" t="str">
        <f t="shared" si="57"/>
        <v>Late Night</v>
      </c>
      <c r="R928" s="4" t="str">
        <f t="shared" si="58"/>
        <v>Low</v>
      </c>
    </row>
    <row r="929" spans="1:18">
      <c r="A929" t="s">
        <v>1180</v>
      </c>
      <c r="B929" s="2">
        <v>46190</v>
      </c>
      <c r="C929" s="3">
        <v>0.347916666666667</v>
      </c>
      <c r="D929" t="s">
        <v>123</v>
      </c>
      <c r="E929">
        <v>255.13</v>
      </c>
      <c r="F929" t="s">
        <v>31</v>
      </c>
      <c r="G929" t="s">
        <v>59</v>
      </c>
      <c r="H929" t="s">
        <v>8</v>
      </c>
      <c r="I929" t="s">
        <v>15</v>
      </c>
      <c r="J929" t="s">
        <v>18</v>
      </c>
      <c r="K929">
        <v>51</v>
      </c>
      <c r="L929" t="s">
        <v>49</v>
      </c>
      <c r="M929">
        <v>0</v>
      </c>
      <c r="N929">
        <f t="shared" si="59"/>
        <v>1</v>
      </c>
      <c r="P929" s="4">
        <f t="shared" si="56"/>
        <v>8</v>
      </c>
      <c r="Q929" s="4" t="str">
        <f t="shared" si="57"/>
        <v>Late Night</v>
      </c>
      <c r="R929" s="4" t="str">
        <f t="shared" si="58"/>
        <v>Low</v>
      </c>
    </row>
    <row r="930" spans="1:18">
      <c r="A930" t="s">
        <v>1181</v>
      </c>
      <c r="B930" s="2">
        <v>46190</v>
      </c>
      <c r="C930" s="3">
        <v>0.502083333333333</v>
      </c>
      <c r="D930" t="s">
        <v>303</v>
      </c>
      <c r="E930">
        <v>173.06</v>
      </c>
      <c r="F930" t="s">
        <v>31</v>
      </c>
      <c r="G930" t="s">
        <v>48</v>
      </c>
      <c r="H930" t="s">
        <v>6</v>
      </c>
      <c r="I930" t="s">
        <v>15</v>
      </c>
      <c r="J930" t="s">
        <v>22</v>
      </c>
      <c r="K930">
        <v>51</v>
      </c>
      <c r="L930" t="s">
        <v>49</v>
      </c>
      <c r="M930">
        <v>0</v>
      </c>
      <c r="N930">
        <f t="shared" si="59"/>
        <v>1</v>
      </c>
      <c r="P930" s="4">
        <f t="shared" si="56"/>
        <v>12</v>
      </c>
      <c r="Q930" s="4" t="str">
        <f t="shared" si="57"/>
        <v>Late Night</v>
      </c>
      <c r="R930" s="4" t="str">
        <f t="shared" si="58"/>
        <v>Low</v>
      </c>
    </row>
    <row r="931" spans="1:18">
      <c r="A931" t="s">
        <v>1182</v>
      </c>
      <c r="B931" s="2">
        <v>46190</v>
      </c>
      <c r="C931" s="3">
        <v>0.721527777777778</v>
      </c>
      <c r="D931" t="s">
        <v>1106</v>
      </c>
      <c r="E931">
        <v>858.44</v>
      </c>
      <c r="F931" t="s">
        <v>29</v>
      </c>
      <c r="G931" t="s">
        <v>59</v>
      </c>
      <c r="H931" t="s">
        <v>6</v>
      </c>
      <c r="I931" t="s">
        <v>15</v>
      </c>
      <c r="J931" t="s">
        <v>19</v>
      </c>
      <c r="K931">
        <v>52</v>
      </c>
      <c r="L931" t="s">
        <v>49</v>
      </c>
      <c r="M931">
        <v>0</v>
      </c>
      <c r="N931">
        <f t="shared" si="59"/>
        <v>1</v>
      </c>
      <c r="P931" s="4">
        <f t="shared" si="56"/>
        <v>17</v>
      </c>
      <c r="Q931" s="4" t="str">
        <f t="shared" si="57"/>
        <v>Late Night</v>
      </c>
      <c r="R931" s="4" t="str">
        <f t="shared" si="58"/>
        <v>Low</v>
      </c>
    </row>
    <row r="932" spans="1:18">
      <c r="A932" t="s">
        <v>1183</v>
      </c>
      <c r="B932" s="2">
        <v>46190</v>
      </c>
      <c r="C932" s="3">
        <v>0.604861111111111</v>
      </c>
      <c r="D932" t="s">
        <v>226</v>
      </c>
      <c r="E932">
        <v>273</v>
      </c>
      <c r="F932" t="s">
        <v>30</v>
      </c>
      <c r="G932" t="s">
        <v>54</v>
      </c>
      <c r="H932" t="s">
        <v>5</v>
      </c>
      <c r="I932" t="s">
        <v>14</v>
      </c>
      <c r="J932" t="s">
        <v>21</v>
      </c>
      <c r="K932">
        <v>55</v>
      </c>
      <c r="L932" t="s">
        <v>49</v>
      </c>
      <c r="M932">
        <v>0</v>
      </c>
      <c r="N932">
        <f t="shared" si="59"/>
        <v>1</v>
      </c>
      <c r="P932" s="4">
        <f t="shared" si="56"/>
        <v>14</v>
      </c>
      <c r="Q932" s="4" t="str">
        <f t="shared" si="57"/>
        <v>Late Night</v>
      </c>
      <c r="R932" s="4" t="str">
        <f t="shared" si="58"/>
        <v>Low</v>
      </c>
    </row>
    <row r="933" spans="1:18">
      <c r="A933" t="s">
        <v>1184</v>
      </c>
      <c r="B933" s="2">
        <v>46190</v>
      </c>
      <c r="C933" s="3">
        <v>0.149305555555556</v>
      </c>
      <c r="D933" t="s">
        <v>370</v>
      </c>
      <c r="E933">
        <v>725.61</v>
      </c>
      <c r="F933" t="s">
        <v>31</v>
      </c>
      <c r="G933" t="s">
        <v>54</v>
      </c>
      <c r="H933" t="s">
        <v>6</v>
      </c>
      <c r="I933" t="s">
        <v>15</v>
      </c>
      <c r="J933" t="s">
        <v>18</v>
      </c>
      <c r="K933">
        <v>20</v>
      </c>
      <c r="L933" t="s">
        <v>49</v>
      </c>
      <c r="M933">
        <v>0</v>
      </c>
      <c r="N933">
        <f t="shared" si="59"/>
        <v>1</v>
      </c>
      <c r="P933" s="4">
        <f t="shared" si="56"/>
        <v>3</v>
      </c>
      <c r="Q933" s="4" t="str">
        <f t="shared" si="57"/>
        <v>Late Night</v>
      </c>
      <c r="R933" s="4" t="str">
        <f t="shared" si="58"/>
        <v>Low</v>
      </c>
    </row>
    <row r="934" spans="1:18">
      <c r="A934" t="s">
        <v>1185</v>
      </c>
      <c r="B934" s="2">
        <v>46190</v>
      </c>
      <c r="C934" s="3">
        <v>0.617361111111111</v>
      </c>
      <c r="D934" t="s">
        <v>286</v>
      </c>
      <c r="E934">
        <v>202.07</v>
      </c>
      <c r="F934" t="s">
        <v>31</v>
      </c>
      <c r="G934" t="s">
        <v>59</v>
      </c>
      <c r="H934" t="s">
        <v>9</v>
      </c>
      <c r="I934" t="s">
        <v>15</v>
      </c>
      <c r="J934" t="s">
        <v>21</v>
      </c>
      <c r="K934">
        <v>59</v>
      </c>
      <c r="L934" t="s">
        <v>49</v>
      </c>
      <c r="M934">
        <v>0</v>
      </c>
      <c r="N934">
        <f t="shared" si="59"/>
        <v>1</v>
      </c>
      <c r="P934" s="4">
        <f t="shared" si="56"/>
        <v>14</v>
      </c>
      <c r="Q934" s="4" t="str">
        <f t="shared" si="57"/>
        <v>Late Night</v>
      </c>
      <c r="R934" s="4" t="str">
        <f t="shared" si="58"/>
        <v>Low</v>
      </c>
    </row>
    <row r="935" spans="1:18">
      <c r="A935" t="s">
        <v>1186</v>
      </c>
      <c r="B935" s="2">
        <v>46191</v>
      </c>
      <c r="C935" s="3">
        <v>0.877083333333333</v>
      </c>
      <c r="D935" t="s">
        <v>455</v>
      </c>
      <c r="E935">
        <v>152.82</v>
      </c>
      <c r="F935" t="s">
        <v>31</v>
      </c>
      <c r="G935" t="s">
        <v>71</v>
      </c>
      <c r="H935" t="s">
        <v>9</v>
      </c>
      <c r="I935" t="s">
        <v>14</v>
      </c>
      <c r="J935" t="s">
        <v>19</v>
      </c>
      <c r="K935">
        <v>23</v>
      </c>
      <c r="L935" t="s">
        <v>49</v>
      </c>
      <c r="M935">
        <v>0</v>
      </c>
      <c r="N935">
        <f t="shared" si="59"/>
        <v>1</v>
      </c>
      <c r="P935" s="4">
        <f t="shared" si="56"/>
        <v>21</v>
      </c>
      <c r="Q935" s="4" t="str">
        <f t="shared" si="57"/>
        <v>Late Night</v>
      </c>
      <c r="R935" s="4" t="str">
        <f t="shared" si="58"/>
        <v>Low</v>
      </c>
    </row>
    <row r="936" spans="1:18">
      <c r="A936" t="s">
        <v>1187</v>
      </c>
      <c r="B936" s="2">
        <v>46191</v>
      </c>
      <c r="C936" s="3">
        <v>0.0597222222222222</v>
      </c>
      <c r="D936" t="s">
        <v>584</v>
      </c>
      <c r="E936">
        <v>174.48</v>
      </c>
      <c r="F936" t="s">
        <v>31</v>
      </c>
      <c r="G936" t="s">
        <v>48</v>
      </c>
      <c r="H936" t="s">
        <v>8</v>
      </c>
      <c r="I936" t="s">
        <v>15</v>
      </c>
      <c r="J936" t="s">
        <v>20</v>
      </c>
      <c r="K936">
        <v>65</v>
      </c>
      <c r="L936" t="s">
        <v>49</v>
      </c>
      <c r="M936">
        <v>0</v>
      </c>
      <c r="N936">
        <f t="shared" si="59"/>
        <v>1</v>
      </c>
      <c r="P936" s="4">
        <f t="shared" si="56"/>
        <v>1</v>
      </c>
      <c r="Q936" s="4" t="str">
        <f t="shared" si="57"/>
        <v>Late Night</v>
      </c>
      <c r="R936" s="4" t="str">
        <f t="shared" si="58"/>
        <v>Low</v>
      </c>
    </row>
    <row r="937" spans="1:18">
      <c r="A937" t="s">
        <v>1188</v>
      </c>
      <c r="B937" s="2">
        <v>46191</v>
      </c>
      <c r="C937" s="3">
        <v>0.594444444444444</v>
      </c>
      <c r="D937" t="s">
        <v>201</v>
      </c>
      <c r="E937">
        <v>83.81</v>
      </c>
      <c r="F937" t="s">
        <v>28</v>
      </c>
      <c r="G937" t="s">
        <v>66</v>
      </c>
      <c r="H937" t="s">
        <v>3</v>
      </c>
      <c r="I937" t="s">
        <v>15</v>
      </c>
      <c r="J937" t="s">
        <v>21</v>
      </c>
      <c r="K937">
        <v>36</v>
      </c>
      <c r="L937" t="s">
        <v>49</v>
      </c>
      <c r="M937">
        <v>0</v>
      </c>
      <c r="N937">
        <f t="shared" si="59"/>
        <v>1</v>
      </c>
      <c r="P937" s="4">
        <f t="shared" si="56"/>
        <v>14</v>
      </c>
      <c r="Q937" s="4" t="str">
        <f t="shared" si="57"/>
        <v>Late Night</v>
      </c>
      <c r="R937" s="4" t="str">
        <f t="shared" si="58"/>
        <v>Low</v>
      </c>
    </row>
    <row r="938" spans="1:18">
      <c r="A938" t="s">
        <v>1189</v>
      </c>
      <c r="B938" s="2">
        <v>46191</v>
      </c>
      <c r="C938" s="3">
        <v>0.299305555555556</v>
      </c>
      <c r="D938" t="s">
        <v>420</v>
      </c>
      <c r="E938">
        <v>308.48</v>
      </c>
      <c r="F938" t="s">
        <v>29</v>
      </c>
      <c r="G938" t="s">
        <v>48</v>
      </c>
      <c r="H938" t="s">
        <v>6</v>
      </c>
      <c r="I938" t="s">
        <v>14</v>
      </c>
      <c r="J938" t="s">
        <v>19</v>
      </c>
      <c r="K938">
        <v>20</v>
      </c>
      <c r="L938" t="s">
        <v>49</v>
      </c>
      <c r="M938">
        <v>0</v>
      </c>
      <c r="N938">
        <f t="shared" si="59"/>
        <v>1</v>
      </c>
      <c r="P938" s="4">
        <f t="shared" si="56"/>
        <v>7</v>
      </c>
      <c r="Q938" s="4" t="str">
        <f t="shared" si="57"/>
        <v>Late Night</v>
      </c>
      <c r="R938" s="4" t="str">
        <f t="shared" si="58"/>
        <v>Low</v>
      </c>
    </row>
    <row r="939" spans="1:18">
      <c r="A939" t="s">
        <v>1190</v>
      </c>
      <c r="B939" s="2">
        <v>46191</v>
      </c>
      <c r="C939" s="3">
        <v>0.30625</v>
      </c>
      <c r="D939" t="s">
        <v>292</v>
      </c>
      <c r="E939">
        <v>90.89</v>
      </c>
      <c r="F939" t="s">
        <v>29</v>
      </c>
      <c r="G939" t="s">
        <v>54</v>
      </c>
      <c r="H939" t="s">
        <v>8</v>
      </c>
      <c r="I939" t="s">
        <v>15</v>
      </c>
      <c r="J939" t="s">
        <v>21</v>
      </c>
      <c r="K939">
        <v>35</v>
      </c>
      <c r="L939" t="s">
        <v>49</v>
      </c>
      <c r="M939">
        <v>0</v>
      </c>
      <c r="N939">
        <f t="shared" si="59"/>
        <v>1</v>
      </c>
      <c r="P939" s="4">
        <f t="shared" si="56"/>
        <v>7</v>
      </c>
      <c r="Q939" s="4" t="str">
        <f t="shared" si="57"/>
        <v>Late Night</v>
      </c>
      <c r="R939" s="4" t="str">
        <f t="shared" si="58"/>
        <v>Low</v>
      </c>
    </row>
    <row r="940" spans="1:18">
      <c r="A940" t="s">
        <v>1191</v>
      </c>
      <c r="B940" s="2">
        <v>46192</v>
      </c>
      <c r="C940" s="3">
        <v>0.677777777777778</v>
      </c>
      <c r="D940" t="s">
        <v>129</v>
      </c>
      <c r="E940">
        <v>202.85</v>
      </c>
      <c r="F940" t="s">
        <v>29</v>
      </c>
      <c r="G940" t="s">
        <v>48</v>
      </c>
      <c r="H940" t="s">
        <v>4</v>
      </c>
      <c r="I940" t="s">
        <v>15</v>
      </c>
      <c r="J940" t="s">
        <v>19</v>
      </c>
      <c r="K940">
        <v>56</v>
      </c>
      <c r="L940" t="s">
        <v>49</v>
      </c>
      <c r="M940">
        <v>0</v>
      </c>
      <c r="N940">
        <f t="shared" si="59"/>
        <v>1</v>
      </c>
      <c r="P940" s="4">
        <f t="shared" si="56"/>
        <v>16</v>
      </c>
      <c r="Q940" s="4" t="str">
        <f t="shared" si="57"/>
        <v>Late Night</v>
      </c>
      <c r="R940" s="4" t="str">
        <f t="shared" si="58"/>
        <v>Low</v>
      </c>
    </row>
    <row r="941" spans="1:18">
      <c r="A941" t="s">
        <v>1192</v>
      </c>
      <c r="B941" s="2">
        <v>46192</v>
      </c>
      <c r="C941" s="3">
        <v>0.464583333333333</v>
      </c>
      <c r="D941" t="s">
        <v>65</v>
      </c>
      <c r="E941">
        <v>426.33</v>
      </c>
      <c r="F941" t="s">
        <v>31</v>
      </c>
      <c r="G941" t="s">
        <v>48</v>
      </c>
      <c r="H941" t="s">
        <v>4</v>
      </c>
      <c r="I941" t="s">
        <v>15</v>
      </c>
      <c r="J941" t="s">
        <v>22</v>
      </c>
      <c r="K941">
        <v>26</v>
      </c>
      <c r="L941" t="s">
        <v>49</v>
      </c>
      <c r="M941">
        <v>0</v>
      </c>
      <c r="N941">
        <f t="shared" si="59"/>
        <v>1</v>
      </c>
      <c r="P941" s="4">
        <f t="shared" si="56"/>
        <v>11</v>
      </c>
      <c r="Q941" s="4" t="str">
        <f t="shared" si="57"/>
        <v>Late Night</v>
      </c>
      <c r="R941" s="4" t="str">
        <f t="shared" si="58"/>
        <v>Low</v>
      </c>
    </row>
    <row r="942" spans="1:18">
      <c r="A942" t="s">
        <v>1193</v>
      </c>
      <c r="B942" s="2">
        <v>46192</v>
      </c>
      <c r="C942" s="3">
        <v>0.786805555555556</v>
      </c>
      <c r="D942" t="s">
        <v>75</v>
      </c>
      <c r="E942">
        <v>883.2</v>
      </c>
      <c r="F942" t="s">
        <v>30</v>
      </c>
      <c r="G942" t="s">
        <v>54</v>
      </c>
      <c r="H942" t="s">
        <v>3</v>
      </c>
      <c r="I942" t="s">
        <v>14</v>
      </c>
      <c r="J942" t="s">
        <v>19</v>
      </c>
      <c r="K942">
        <v>29</v>
      </c>
      <c r="L942" t="s">
        <v>168</v>
      </c>
      <c r="M942">
        <v>1</v>
      </c>
      <c r="N942">
        <f t="shared" si="59"/>
        <v>1</v>
      </c>
      <c r="P942" s="4">
        <f t="shared" si="56"/>
        <v>18</v>
      </c>
      <c r="Q942" s="4" t="str">
        <f t="shared" si="57"/>
        <v>Late Night</v>
      </c>
      <c r="R942" s="4" t="str">
        <f t="shared" si="58"/>
        <v>Low</v>
      </c>
    </row>
    <row r="943" spans="1:18">
      <c r="A943" t="s">
        <v>1194</v>
      </c>
      <c r="B943" s="2">
        <v>46192</v>
      </c>
      <c r="C943" s="3">
        <v>0.375</v>
      </c>
      <c r="D943" t="s">
        <v>1195</v>
      </c>
      <c r="E943">
        <v>213.33</v>
      </c>
      <c r="F943" t="s">
        <v>28</v>
      </c>
      <c r="G943" t="s">
        <v>48</v>
      </c>
      <c r="H943" t="s">
        <v>3</v>
      </c>
      <c r="I943" t="s">
        <v>14</v>
      </c>
      <c r="J943" t="s">
        <v>24</v>
      </c>
      <c r="K943">
        <v>22</v>
      </c>
      <c r="L943" t="s">
        <v>49</v>
      </c>
      <c r="M943">
        <v>0</v>
      </c>
      <c r="N943">
        <f t="shared" si="59"/>
        <v>1</v>
      </c>
      <c r="P943" s="4">
        <f t="shared" si="56"/>
        <v>9</v>
      </c>
      <c r="Q943" s="4" t="str">
        <f t="shared" si="57"/>
        <v>Late Night</v>
      </c>
      <c r="R943" s="4" t="str">
        <f t="shared" si="58"/>
        <v>Low</v>
      </c>
    </row>
    <row r="944" spans="1:18">
      <c r="A944" t="s">
        <v>1196</v>
      </c>
      <c r="B944" s="2">
        <v>46192</v>
      </c>
      <c r="C944" s="3">
        <v>0.347916666666667</v>
      </c>
      <c r="D944" t="s">
        <v>294</v>
      </c>
      <c r="E944">
        <v>428.89</v>
      </c>
      <c r="F944" t="s">
        <v>32</v>
      </c>
      <c r="G944" t="s">
        <v>54</v>
      </c>
      <c r="H944" t="s">
        <v>3</v>
      </c>
      <c r="I944" t="s">
        <v>15</v>
      </c>
      <c r="J944" t="s">
        <v>20</v>
      </c>
      <c r="K944">
        <v>20</v>
      </c>
      <c r="L944" t="s">
        <v>49</v>
      </c>
      <c r="M944">
        <v>0</v>
      </c>
      <c r="N944">
        <f t="shared" si="59"/>
        <v>1</v>
      </c>
      <c r="P944" s="4">
        <f t="shared" si="56"/>
        <v>8</v>
      </c>
      <c r="Q944" s="4" t="str">
        <f t="shared" si="57"/>
        <v>Late Night</v>
      </c>
      <c r="R944" s="4" t="str">
        <f t="shared" si="58"/>
        <v>Low</v>
      </c>
    </row>
    <row r="945" spans="1:18">
      <c r="A945" t="s">
        <v>1197</v>
      </c>
      <c r="B945" s="2">
        <v>46192</v>
      </c>
      <c r="C945" s="3">
        <v>0.184027777777778</v>
      </c>
      <c r="D945" t="s">
        <v>836</v>
      </c>
      <c r="E945">
        <v>380.65</v>
      </c>
      <c r="F945" t="s">
        <v>29</v>
      </c>
      <c r="G945" t="s">
        <v>71</v>
      </c>
      <c r="H945" t="s">
        <v>8</v>
      </c>
      <c r="I945" t="s">
        <v>15</v>
      </c>
      <c r="J945" t="s">
        <v>21</v>
      </c>
      <c r="K945">
        <v>28</v>
      </c>
      <c r="L945" t="s">
        <v>49</v>
      </c>
      <c r="M945">
        <v>0</v>
      </c>
      <c r="N945">
        <f t="shared" si="59"/>
        <v>1</v>
      </c>
      <c r="P945" s="4">
        <f t="shared" si="56"/>
        <v>4</v>
      </c>
      <c r="Q945" s="4" t="str">
        <f t="shared" si="57"/>
        <v>Late Night</v>
      </c>
      <c r="R945" s="4" t="str">
        <f t="shared" si="58"/>
        <v>Low</v>
      </c>
    </row>
    <row r="946" spans="1:18">
      <c r="A946" t="s">
        <v>1198</v>
      </c>
      <c r="B946" s="2">
        <v>46193</v>
      </c>
      <c r="C946" s="3">
        <v>0.246527777777778</v>
      </c>
      <c r="D946" t="s">
        <v>249</v>
      </c>
      <c r="E946">
        <v>123.67</v>
      </c>
      <c r="F946" t="s">
        <v>31</v>
      </c>
      <c r="G946" t="s">
        <v>48</v>
      </c>
      <c r="H946" t="s">
        <v>4</v>
      </c>
      <c r="I946" t="s">
        <v>14</v>
      </c>
      <c r="J946" t="s">
        <v>19</v>
      </c>
      <c r="K946">
        <v>47</v>
      </c>
      <c r="L946" t="s">
        <v>49</v>
      </c>
      <c r="M946">
        <v>0</v>
      </c>
      <c r="N946">
        <f t="shared" si="59"/>
        <v>1</v>
      </c>
      <c r="P946" s="4">
        <f t="shared" si="56"/>
        <v>5</v>
      </c>
      <c r="Q946" s="4" t="str">
        <f t="shared" si="57"/>
        <v>Late Night</v>
      </c>
      <c r="R946" s="4" t="str">
        <f t="shared" si="58"/>
        <v>Low</v>
      </c>
    </row>
    <row r="947" spans="1:18">
      <c r="A947" t="s">
        <v>1199</v>
      </c>
      <c r="B947" s="2">
        <v>46193</v>
      </c>
      <c r="C947" s="3">
        <v>0.831944444444444</v>
      </c>
      <c r="D947" t="s">
        <v>63</v>
      </c>
      <c r="E947">
        <v>1491.9</v>
      </c>
      <c r="F947" t="s">
        <v>29</v>
      </c>
      <c r="G947" t="s">
        <v>66</v>
      </c>
      <c r="H947" t="s">
        <v>9</v>
      </c>
      <c r="I947" t="s">
        <v>15</v>
      </c>
      <c r="J947" t="s">
        <v>19</v>
      </c>
      <c r="K947">
        <v>21</v>
      </c>
      <c r="L947" t="s">
        <v>49</v>
      </c>
      <c r="M947">
        <v>0</v>
      </c>
      <c r="N947">
        <f t="shared" si="59"/>
        <v>1</v>
      </c>
      <c r="P947" s="4">
        <f t="shared" si="56"/>
        <v>19</v>
      </c>
      <c r="Q947" s="4" t="str">
        <f t="shared" si="57"/>
        <v>Late Night</v>
      </c>
      <c r="R947" s="4" t="str">
        <f t="shared" si="58"/>
        <v>Medium</v>
      </c>
    </row>
    <row r="948" spans="1:18">
      <c r="A948" t="s">
        <v>1200</v>
      </c>
      <c r="B948" s="2">
        <v>46193</v>
      </c>
      <c r="C948" s="3">
        <v>0.0534722222222222</v>
      </c>
      <c r="D948" t="s">
        <v>158</v>
      </c>
      <c r="E948">
        <v>101.88</v>
      </c>
      <c r="F948" t="s">
        <v>31</v>
      </c>
      <c r="G948" t="s">
        <v>54</v>
      </c>
      <c r="H948" t="s">
        <v>3</v>
      </c>
      <c r="I948" t="s">
        <v>15</v>
      </c>
      <c r="J948" t="s">
        <v>21</v>
      </c>
      <c r="K948">
        <v>22</v>
      </c>
      <c r="L948" t="s">
        <v>49</v>
      </c>
      <c r="M948">
        <v>0</v>
      </c>
      <c r="N948">
        <f t="shared" si="59"/>
        <v>1</v>
      </c>
      <c r="P948" s="4">
        <f t="shared" si="56"/>
        <v>1</v>
      </c>
      <c r="Q948" s="4" t="str">
        <f t="shared" si="57"/>
        <v>Late Night</v>
      </c>
      <c r="R948" s="4" t="str">
        <f t="shared" si="58"/>
        <v>Low</v>
      </c>
    </row>
    <row r="949" spans="1:18">
      <c r="A949" t="s">
        <v>1201</v>
      </c>
      <c r="B949" s="2">
        <v>46193</v>
      </c>
      <c r="C949" s="3">
        <v>0.992361111111111</v>
      </c>
      <c r="D949" t="s">
        <v>449</v>
      </c>
      <c r="E949">
        <v>198.54</v>
      </c>
      <c r="F949" t="s">
        <v>29</v>
      </c>
      <c r="G949" t="s">
        <v>59</v>
      </c>
      <c r="H949" t="s">
        <v>5</v>
      </c>
      <c r="I949" t="s">
        <v>15</v>
      </c>
      <c r="J949" t="s">
        <v>20</v>
      </c>
      <c r="K949">
        <v>18</v>
      </c>
      <c r="L949" t="s">
        <v>49</v>
      </c>
      <c r="M949">
        <v>0</v>
      </c>
      <c r="N949">
        <f t="shared" si="59"/>
        <v>1</v>
      </c>
      <c r="P949" s="4">
        <f t="shared" si="56"/>
        <v>23</v>
      </c>
      <c r="Q949" s="4" t="str">
        <f t="shared" si="57"/>
        <v>Late Night</v>
      </c>
      <c r="R949" s="4" t="str">
        <f t="shared" si="58"/>
        <v>Low</v>
      </c>
    </row>
    <row r="950" spans="1:18">
      <c r="A950" t="s">
        <v>1202</v>
      </c>
      <c r="B950" s="2">
        <v>46193</v>
      </c>
      <c r="C950" s="3">
        <v>0.509027777777778</v>
      </c>
      <c r="D950" t="s">
        <v>502</v>
      </c>
      <c r="E950">
        <v>775.97</v>
      </c>
      <c r="F950" t="s">
        <v>31</v>
      </c>
      <c r="G950" t="s">
        <v>48</v>
      </c>
      <c r="H950" t="s">
        <v>10</v>
      </c>
      <c r="I950" t="s">
        <v>14</v>
      </c>
      <c r="J950" t="s">
        <v>20</v>
      </c>
      <c r="K950">
        <v>44</v>
      </c>
      <c r="L950" t="s">
        <v>49</v>
      </c>
      <c r="M950">
        <v>0</v>
      </c>
      <c r="N950">
        <f t="shared" si="59"/>
        <v>1</v>
      </c>
      <c r="P950" s="4">
        <f t="shared" si="56"/>
        <v>12</v>
      </c>
      <c r="Q950" s="4" t="str">
        <f t="shared" si="57"/>
        <v>Late Night</v>
      </c>
      <c r="R950" s="4" t="str">
        <f t="shared" si="58"/>
        <v>Low</v>
      </c>
    </row>
    <row r="951" spans="1:18">
      <c r="A951" t="s">
        <v>1203</v>
      </c>
      <c r="B951" s="2">
        <v>46193</v>
      </c>
      <c r="C951" s="3">
        <v>0.240277777777778</v>
      </c>
      <c r="D951" t="s">
        <v>212</v>
      </c>
      <c r="E951">
        <v>757.07</v>
      </c>
      <c r="F951" t="s">
        <v>31</v>
      </c>
      <c r="G951" t="s">
        <v>48</v>
      </c>
      <c r="H951" t="s">
        <v>8</v>
      </c>
      <c r="I951" t="s">
        <v>14</v>
      </c>
      <c r="J951" t="s">
        <v>19</v>
      </c>
      <c r="K951">
        <v>45</v>
      </c>
      <c r="L951" t="s">
        <v>49</v>
      </c>
      <c r="M951">
        <v>0</v>
      </c>
      <c r="N951">
        <f t="shared" si="59"/>
        <v>1</v>
      </c>
      <c r="P951" s="4">
        <f t="shared" si="56"/>
        <v>5</v>
      </c>
      <c r="Q951" s="4" t="str">
        <f t="shared" si="57"/>
        <v>Late Night</v>
      </c>
      <c r="R951" s="4" t="str">
        <f t="shared" si="58"/>
        <v>Low</v>
      </c>
    </row>
    <row r="952" spans="1:18">
      <c r="A952" t="s">
        <v>1204</v>
      </c>
      <c r="B952" s="2">
        <v>46194</v>
      </c>
      <c r="C952" s="3">
        <v>0.186111111111111</v>
      </c>
      <c r="D952" t="s">
        <v>184</v>
      </c>
      <c r="E952">
        <v>183.89</v>
      </c>
      <c r="F952" t="s">
        <v>30</v>
      </c>
      <c r="G952" t="s">
        <v>48</v>
      </c>
      <c r="H952" t="s">
        <v>3</v>
      </c>
      <c r="I952" t="s">
        <v>15</v>
      </c>
      <c r="J952" t="s">
        <v>18</v>
      </c>
      <c r="K952">
        <v>46</v>
      </c>
      <c r="L952" t="s">
        <v>49</v>
      </c>
      <c r="M952">
        <v>0</v>
      </c>
      <c r="N952">
        <f t="shared" si="59"/>
        <v>1</v>
      </c>
      <c r="P952" s="4">
        <f t="shared" si="56"/>
        <v>4</v>
      </c>
      <c r="Q952" s="4" t="str">
        <f t="shared" si="57"/>
        <v>Late Night</v>
      </c>
      <c r="R952" s="4" t="str">
        <f t="shared" si="58"/>
        <v>Low</v>
      </c>
    </row>
    <row r="953" spans="1:18">
      <c r="A953" t="s">
        <v>1205</v>
      </c>
      <c r="B953" s="2">
        <v>46194</v>
      </c>
      <c r="C953" s="3">
        <v>0.00763888888888889</v>
      </c>
      <c r="D953" t="s">
        <v>269</v>
      </c>
      <c r="E953">
        <v>488.05</v>
      </c>
      <c r="F953" t="s">
        <v>31</v>
      </c>
      <c r="G953" t="s">
        <v>48</v>
      </c>
      <c r="H953" t="s">
        <v>10</v>
      </c>
      <c r="I953" t="s">
        <v>15</v>
      </c>
      <c r="J953" t="s">
        <v>22</v>
      </c>
      <c r="K953">
        <v>35</v>
      </c>
      <c r="L953" t="s">
        <v>49</v>
      </c>
      <c r="M953">
        <v>0</v>
      </c>
      <c r="N953">
        <f t="shared" si="59"/>
        <v>1</v>
      </c>
      <c r="P953" s="4">
        <f t="shared" si="56"/>
        <v>0</v>
      </c>
      <c r="Q953" s="4" t="str">
        <f t="shared" si="57"/>
        <v>Late Night</v>
      </c>
      <c r="R953" s="4" t="str">
        <f t="shared" si="58"/>
        <v>Low</v>
      </c>
    </row>
    <row r="954" spans="1:18">
      <c r="A954" t="s">
        <v>1206</v>
      </c>
      <c r="B954" s="2">
        <v>46194</v>
      </c>
      <c r="C954" s="3">
        <v>0.857638888888889</v>
      </c>
      <c r="D954" t="s">
        <v>596</v>
      </c>
      <c r="E954">
        <v>144.9</v>
      </c>
      <c r="F954" t="s">
        <v>30</v>
      </c>
      <c r="G954" t="s">
        <v>48</v>
      </c>
      <c r="H954" t="s">
        <v>7</v>
      </c>
      <c r="I954" t="s">
        <v>14</v>
      </c>
      <c r="J954" t="s">
        <v>20</v>
      </c>
      <c r="K954">
        <v>29</v>
      </c>
      <c r="L954" t="s">
        <v>49</v>
      </c>
      <c r="M954">
        <v>0</v>
      </c>
      <c r="N954">
        <f t="shared" si="59"/>
        <v>1</v>
      </c>
      <c r="P954" s="4">
        <f t="shared" si="56"/>
        <v>20</v>
      </c>
      <c r="Q954" s="4" t="str">
        <f t="shared" si="57"/>
        <v>Late Night</v>
      </c>
      <c r="R954" s="4" t="str">
        <f t="shared" si="58"/>
        <v>Low</v>
      </c>
    </row>
    <row r="955" spans="1:18">
      <c r="A955" t="s">
        <v>1207</v>
      </c>
      <c r="B955" s="2">
        <v>46194</v>
      </c>
      <c r="C955" s="3">
        <v>0.915277777777778</v>
      </c>
      <c r="D955" t="s">
        <v>118</v>
      </c>
      <c r="E955">
        <v>111.2</v>
      </c>
      <c r="F955" t="s">
        <v>31</v>
      </c>
      <c r="G955" t="s">
        <v>59</v>
      </c>
      <c r="H955" t="s">
        <v>3</v>
      </c>
      <c r="I955" t="s">
        <v>15</v>
      </c>
      <c r="J955" t="s">
        <v>20</v>
      </c>
      <c r="K955">
        <v>30</v>
      </c>
      <c r="L955" t="s">
        <v>49</v>
      </c>
      <c r="M955">
        <v>0</v>
      </c>
      <c r="N955">
        <f t="shared" si="59"/>
        <v>1</v>
      </c>
      <c r="P955" s="4">
        <f t="shared" si="56"/>
        <v>21</v>
      </c>
      <c r="Q955" s="4" t="str">
        <f t="shared" si="57"/>
        <v>Late Night</v>
      </c>
      <c r="R955" s="4" t="str">
        <f t="shared" si="58"/>
        <v>Low</v>
      </c>
    </row>
    <row r="956" spans="1:18">
      <c r="A956" t="s">
        <v>1208</v>
      </c>
      <c r="B956" s="2">
        <v>46194</v>
      </c>
      <c r="C956" s="3">
        <v>0.856944444444444</v>
      </c>
      <c r="D956" t="s">
        <v>346</v>
      </c>
      <c r="E956">
        <v>53.9</v>
      </c>
      <c r="F956" t="s">
        <v>29</v>
      </c>
      <c r="G956" t="s">
        <v>71</v>
      </c>
      <c r="H956" t="s">
        <v>4</v>
      </c>
      <c r="I956" t="s">
        <v>16</v>
      </c>
      <c r="J956" t="s">
        <v>23</v>
      </c>
      <c r="K956">
        <v>58</v>
      </c>
      <c r="L956" t="s">
        <v>49</v>
      </c>
      <c r="M956">
        <v>0</v>
      </c>
      <c r="N956">
        <f t="shared" si="59"/>
        <v>1</v>
      </c>
      <c r="P956" s="4">
        <f t="shared" si="56"/>
        <v>20</v>
      </c>
      <c r="Q956" s="4" t="str">
        <f t="shared" si="57"/>
        <v>Late Night</v>
      </c>
      <c r="R956" s="4" t="str">
        <f t="shared" si="58"/>
        <v>Low</v>
      </c>
    </row>
    <row r="957" spans="1:18">
      <c r="A957" t="s">
        <v>1209</v>
      </c>
      <c r="B957" s="2">
        <v>46195</v>
      </c>
      <c r="C957" s="3">
        <v>0.24375</v>
      </c>
      <c r="D957" t="s">
        <v>1118</v>
      </c>
      <c r="E957">
        <v>373.86</v>
      </c>
      <c r="F957" t="s">
        <v>29</v>
      </c>
      <c r="G957" t="s">
        <v>66</v>
      </c>
      <c r="H957" t="s">
        <v>6</v>
      </c>
      <c r="I957" t="s">
        <v>15</v>
      </c>
      <c r="J957" t="s">
        <v>24</v>
      </c>
      <c r="K957">
        <v>19</v>
      </c>
      <c r="L957" t="s">
        <v>49</v>
      </c>
      <c r="M957">
        <v>0</v>
      </c>
      <c r="N957">
        <f t="shared" si="59"/>
        <v>1</v>
      </c>
      <c r="P957" s="4">
        <f t="shared" si="56"/>
        <v>5</v>
      </c>
      <c r="Q957" s="4" t="str">
        <f t="shared" si="57"/>
        <v>Late Night</v>
      </c>
      <c r="R957" s="4" t="str">
        <f t="shared" si="58"/>
        <v>Low</v>
      </c>
    </row>
    <row r="958" spans="1:18">
      <c r="A958" t="s">
        <v>1210</v>
      </c>
      <c r="B958" s="2">
        <v>46195</v>
      </c>
      <c r="C958" s="3">
        <v>0.215972222222222</v>
      </c>
      <c r="D958" t="s">
        <v>131</v>
      </c>
      <c r="E958">
        <v>415.39</v>
      </c>
      <c r="F958" t="s">
        <v>28</v>
      </c>
      <c r="G958" t="s">
        <v>59</v>
      </c>
      <c r="H958" t="s">
        <v>3</v>
      </c>
      <c r="I958" t="s">
        <v>15</v>
      </c>
      <c r="J958" t="s">
        <v>20</v>
      </c>
      <c r="K958">
        <v>54</v>
      </c>
      <c r="L958" t="s">
        <v>49</v>
      </c>
      <c r="M958">
        <v>0</v>
      </c>
      <c r="N958">
        <f t="shared" si="59"/>
        <v>1</v>
      </c>
      <c r="P958" s="4">
        <f t="shared" si="56"/>
        <v>5</v>
      </c>
      <c r="Q958" s="4" t="str">
        <f t="shared" si="57"/>
        <v>Late Night</v>
      </c>
      <c r="R958" s="4" t="str">
        <f t="shared" si="58"/>
        <v>Low</v>
      </c>
    </row>
    <row r="959" spans="1:18">
      <c r="A959" t="s">
        <v>1211</v>
      </c>
      <c r="B959" s="2">
        <v>46195</v>
      </c>
      <c r="C959" s="3">
        <v>0.920833333333333</v>
      </c>
      <c r="D959" t="s">
        <v>51</v>
      </c>
      <c r="E959">
        <v>102.73</v>
      </c>
      <c r="F959" t="s">
        <v>31</v>
      </c>
      <c r="G959" t="s">
        <v>48</v>
      </c>
      <c r="H959" t="s">
        <v>8</v>
      </c>
      <c r="I959" t="s">
        <v>15</v>
      </c>
      <c r="J959" t="s">
        <v>22</v>
      </c>
      <c r="K959">
        <v>62</v>
      </c>
      <c r="L959" t="s">
        <v>49</v>
      </c>
      <c r="M959">
        <v>0</v>
      </c>
      <c r="N959">
        <f t="shared" si="59"/>
        <v>1</v>
      </c>
      <c r="P959" s="4">
        <f t="shared" si="56"/>
        <v>22</v>
      </c>
      <c r="Q959" s="4" t="str">
        <f t="shared" si="57"/>
        <v>Late Night</v>
      </c>
      <c r="R959" s="4" t="str">
        <f t="shared" si="58"/>
        <v>Low</v>
      </c>
    </row>
    <row r="960" spans="1:18">
      <c r="A960" t="s">
        <v>1212</v>
      </c>
      <c r="B960" s="2">
        <v>46195</v>
      </c>
      <c r="C960" s="3">
        <v>0.644444444444444</v>
      </c>
      <c r="D960" t="s">
        <v>568</v>
      </c>
      <c r="E960">
        <v>237.01</v>
      </c>
      <c r="F960" t="s">
        <v>31</v>
      </c>
      <c r="G960" t="s">
        <v>48</v>
      </c>
      <c r="H960" t="s">
        <v>6</v>
      </c>
      <c r="I960" t="s">
        <v>15</v>
      </c>
      <c r="J960" t="s">
        <v>24</v>
      </c>
      <c r="K960">
        <v>33</v>
      </c>
      <c r="L960" t="s">
        <v>49</v>
      </c>
      <c r="M960">
        <v>0</v>
      </c>
      <c r="N960">
        <f t="shared" si="59"/>
        <v>1</v>
      </c>
      <c r="P960" s="4">
        <f t="shared" si="56"/>
        <v>15</v>
      </c>
      <c r="Q960" s="4" t="str">
        <f t="shared" si="57"/>
        <v>Late Night</v>
      </c>
      <c r="R960" s="4" t="str">
        <f t="shared" si="58"/>
        <v>Low</v>
      </c>
    </row>
    <row r="961" spans="1:18">
      <c r="A961" t="s">
        <v>1213</v>
      </c>
      <c r="B961" s="2">
        <v>46195</v>
      </c>
      <c r="C961" s="3">
        <v>0.131944444444444</v>
      </c>
      <c r="D961" t="s">
        <v>688</v>
      </c>
      <c r="E961">
        <v>2568.27</v>
      </c>
      <c r="F961" t="s">
        <v>31</v>
      </c>
      <c r="G961" t="s">
        <v>48</v>
      </c>
      <c r="H961" t="s">
        <v>7</v>
      </c>
      <c r="I961" t="s">
        <v>16</v>
      </c>
      <c r="J961" t="s">
        <v>24</v>
      </c>
      <c r="K961">
        <v>65</v>
      </c>
      <c r="L961" t="s">
        <v>49</v>
      </c>
      <c r="M961">
        <v>0</v>
      </c>
      <c r="N961">
        <f t="shared" si="59"/>
        <v>1</v>
      </c>
      <c r="P961" s="4">
        <f t="shared" si="56"/>
        <v>3</v>
      </c>
      <c r="Q961" s="4" t="str">
        <f t="shared" si="57"/>
        <v>Late Night</v>
      </c>
      <c r="R961" s="4" t="str">
        <f t="shared" si="58"/>
        <v>Medium</v>
      </c>
    </row>
    <row r="962" spans="1:18">
      <c r="A962" t="s">
        <v>1214</v>
      </c>
      <c r="B962" s="2">
        <v>46195</v>
      </c>
      <c r="C962" s="3">
        <v>0.438888888888889</v>
      </c>
      <c r="D962" t="s">
        <v>47</v>
      </c>
      <c r="E962">
        <v>570.6</v>
      </c>
      <c r="F962" t="s">
        <v>31</v>
      </c>
      <c r="G962" t="s">
        <v>48</v>
      </c>
      <c r="H962" t="s">
        <v>5</v>
      </c>
      <c r="I962" t="s">
        <v>15</v>
      </c>
      <c r="J962" t="s">
        <v>21</v>
      </c>
      <c r="K962">
        <v>41</v>
      </c>
      <c r="L962" t="s">
        <v>49</v>
      </c>
      <c r="M962">
        <v>0</v>
      </c>
      <c r="N962">
        <f t="shared" si="59"/>
        <v>1</v>
      </c>
      <c r="P962" s="4">
        <f t="shared" ref="P962:P1001" si="60">HOUR(C962)</f>
        <v>10</v>
      </c>
      <c r="Q962" s="4" t="str">
        <f t="shared" ref="Q962:Q1001" si="61">IF(N962&lt;6,"Late Night",IF(N962&lt;12,"Morning",IF(N962&lt;18,"Afternoon","Evening")))</f>
        <v>Late Night</v>
      </c>
      <c r="R962" s="4" t="str">
        <f t="shared" ref="R962:R1001" si="62">IF(E962&lt;1000,"Low",IF(E962&lt;5000,"Medium",IF(E962&lt;15000,"High","Very High")))</f>
        <v>Low</v>
      </c>
    </row>
    <row r="963" spans="1:18">
      <c r="A963" t="s">
        <v>1215</v>
      </c>
      <c r="B963" s="2">
        <v>46196</v>
      </c>
      <c r="C963" s="3">
        <v>0.961805555555556</v>
      </c>
      <c r="D963" t="s">
        <v>443</v>
      </c>
      <c r="E963">
        <v>73.59</v>
      </c>
      <c r="F963" t="s">
        <v>29</v>
      </c>
      <c r="G963" t="s">
        <v>54</v>
      </c>
      <c r="H963" t="s">
        <v>6</v>
      </c>
      <c r="I963" t="s">
        <v>14</v>
      </c>
      <c r="J963" t="s">
        <v>21</v>
      </c>
      <c r="K963">
        <v>52</v>
      </c>
      <c r="L963" t="s">
        <v>49</v>
      </c>
      <c r="M963">
        <v>0</v>
      </c>
      <c r="N963">
        <f t="shared" ref="N963:N1001" si="63">COUNTIF($A$2:$A$1001,A963)</f>
        <v>1</v>
      </c>
      <c r="P963" s="4">
        <f t="shared" si="60"/>
        <v>23</v>
      </c>
      <c r="Q963" s="4" t="str">
        <f t="shared" si="61"/>
        <v>Late Night</v>
      </c>
      <c r="R963" s="4" t="str">
        <f t="shared" si="62"/>
        <v>Low</v>
      </c>
    </row>
    <row r="964" spans="1:18">
      <c r="A964" t="s">
        <v>1216</v>
      </c>
      <c r="B964" s="2">
        <v>46196</v>
      </c>
      <c r="C964" s="3">
        <v>0.948611111111111</v>
      </c>
      <c r="D964" t="s">
        <v>131</v>
      </c>
      <c r="E964">
        <v>493.52</v>
      </c>
      <c r="F964" t="s">
        <v>32</v>
      </c>
      <c r="G964" t="s">
        <v>59</v>
      </c>
      <c r="H964" t="s">
        <v>10</v>
      </c>
      <c r="I964" t="s">
        <v>15</v>
      </c>
      <c r="J964" t="s">
        <v>21</v>
      </c>
      <c r="K964">
        <v>39</v>
      </c>
      <c r="L964" t="s">
        <v>49</v>
      </c>
      <c r="M964">
        <v>0</v>
      </c>
      <c r="N964">
        <f t="shared" si="63"/>
        <v>1</v>
      </c>
      <c r="P964" s="4">
        <f t="shared" si="60"/>
        <v>22</v>
      </c>
      <c r="Q964" s="4" t="str">
        <f t="shared" si="61"/>
        <v>Late Night</v>
      </c>
      <c r="R964" s="4" t="str">
        <f t="shared" si="62"/>
        <v>Low</v>
      </c>
    </row>
    <row r="965" spans="1:18">
      <c r="A965" t="s">
        <v>1217</v>
      </c>
      <c r="B965" s="2">
        <v>46196</v>
      </c>
      <c r="C965" s="3">
        <v>0.343055555555556</v>
      </c>
      <c r="D965" t="s">
        <v>361</v>
      </c>
      <c r="E965">
        <v>73.93</v>
      </c>
      <c r="F965" t="s">
        <v>30</v>
      </c>
      <c r="G965" t="s">
        <v>54</v>
      </c>
      <c r="H965" t="s">
        <v>9</v>
      </c>
      <c r="I965" t="s">
        <v>15</v>
      </c>
      <c r="J965" t="s">
        <v>21</v>
      </c>
      <c r="K965">
        <v>53</v>
      </c>
      <c r="L965" t="s">
        <v>49</v>
      </c>
      <c r="M965">
        <v>0</v>
      </c>
      <c r="N965">
        <f t="shared" si="63"/>
        <v>1</v>
      </c>
      <c r="P965" s="4">
        <f t="shared" si="60"/>
        <v>8</v>
      </c>
      <c r="Q965" s="4" t="str">
        <f t="shared" si="61"/>
        <v>Late Night</v>
      </c>
      <c r="R965" s="4" t="str">
        <f t="shared" si="62"/>
        <v>Low</v>
      </c>
    </row>
    <row r="966" spans="1:18">
      <c r="A966" t="s">
        <v>1218</v>
      </c>
      <c r="B966" s="2">
        <v>46196</v>
      </c>
      <c r="C966" s="3">
        <v>0.938194444444444</v>
      </c>
      <c r="D966" t="s">
        <v>630</v>
      </c>
      <c r="E966">
        <v>20</v>
      </c>
      <c r="F966" t="s">
        <v>29</v>
      </c>
      <c r="G966" t="s">
        <v>54</v>
      </c>
      <c r="H966" t="s">
        <v>3</v>
      </c>
      <c r="I966" t="s">
        <v>15</v>
      </c>
      <c r="J966" t="s">
        <v>23</v>
      </c>
      <c r="K966">
        <v>28</v>
      </c>
      <c r="L966" t="s">
        <v>49</v>
      </c>
      <c r="M966">
        <v>0</v>
      </c>
      <c r="N966">
        <f t="shared" si="63"/>
        <v>1</v>
      </c>
      <c r="P966" s="4">
        <f t="shared" si="60"/>
        <v>22</v>
      </c>
      <c r="Q966" s="4" t="str">
        <f t="shared" si="61"/>
        <v>Late Night</v>
      </c>
      <c r="R966" s="4" t="str">
        <f t="shared" si="62"/>
        <v>Low</v>
      </c>
    </row>
    <row r="967" spans="1:18">
      <c r="A967" t="s">
        <v>1219</v>
      </c>
      <c r="B967" s="2">
        <v>46196</v>
      </c>
      <c r="C967" s="3">
        <v>0.118055555555556</v>
      </c>
      <c r="D967" t="s">
        <v>65</v>
      </c>
      <c r="E967">
        <v>177.61</v>
      </c>
      <c r="F967" t="s">
        <v>29</v>
      </c>
      <c r="G967" t="s">
        <v>66</v>
      </c>
      <c r="H967" t="s">
        <v>7</v>
      </c>
      <c r="I967" t="s">
        <v>15</v>
      </c>
      <c r="J967" t="s">
        <v>20</v>
      </c>
      <c r="K967">
        <v>63</v>
      </c>
      <c r="L967" t="s">
        <v>49</v>
      </c>
      <c r="M967">
        <v>0</v>
      </c>
      <c r="N967">
        <f t="shared" si="63"/>
        <v>1</v>
      </c>
      <c r="P967" s="4">
        <f t="shared" si="60"/>
        <v>2</v>
      </c>
      <c r="Q967" s="4" t="str">
        <f t="shared" si="61"/>
        <v>Late Night</v>
      </c>
      <c r="R967" s="4" t="str">
        <f t="shared" si="62"/>
        <v>Low</v>
      </c>
    </row>
    <row r="968" spans="1:18">
      <c r="A968" t="s">
        <v>1220</v>
      </c>
      <c r="B968" s="2">
        <v>46197</v>
      </c>
      <c r="C968" s="3">
        <v>0.756944444444444</v>
      </c>
      <c r="D968" t="s">
        <v>486</v>
      </c>
      <c r="E968">
        <v>865.41</v>
      </c>
      <c r="F968" t="s">
        <v>29</v>
      </c>
      <c r="G968" t="s">
        <v>66</v>
      </c>
      <c r="H968" t="s">
        <v>7</v>
      </c>
      <c r="I968" t="s">
        <v>16</v>
      </c>
      <c r="J968" t="s">
        <v>21</v>
      </c>
      <c r="K968">
        <v>46</v>
      </c>
      <c r="L968" t="s">
        <v>49</v>
      </c>
      <c r="M968">
        <v>0</v>
      </c>
      <c r="N968">
        <f t="shared" si="63"/>
        <v>1</v>
      </c>
      <c r="P968" s="4">
        <f t="shared" si="60"/>
        <v>18</v>
      </c>
      <c r="Q968" s="4" t="str">
        <f t="shared" si="61"/>
        <v>Late Night</v>
      </c>
      <c r="R968" s="4" t="str">
        <f t="shared" si="62"/>
        <v>Low</v>
      </c>
    </row>
    <row r="969" spans="1:18">
      <c r="A969" t="s">
        <v>1221</v>
      </c>
      <c r="B969" s="2">
        <v>46197</v>
      </c>
      <c r="C969" s="3">
        <v>0.33125</v>
      </c>
      <c r="D969" t="s">
        <v>305</v>
      </c>
      <c r="E969">
        <v>733.22</v>
      </c>
      <c r="F969" t="s">
        <v>31</v>
      </c>
      <c r="G969" t="s">
        <v>48</v>
      </c>
      <c r="H969" t="s">
        <v>6</v>
      </c>
      <c r="I969" t="s">
        <v>15</v>
      </c>
      <c r="J969" t="s">
        <v>19</v>
      </c>
      <c r="K969">
        <v>52</v>
      </c>
      <c r="L969" t="s">
        <v>49</v>
      </c>
      <c r="M969">
        <v>0</v>
      </c>
      <c r="N969">
        <f t="shared" si="63"/>
        <v>1</v>
      </c>
      <c r="P969" s="4">
        <f t="shared" si="60"/>
        <v>7</v>
      </c>
      <c r="Q969" s="4" t="str">
        <f t="shared" si="61"/>
        <v>Late Night</v>
      </c>
      <c r="R969" s="4" t="str">
        <f t="shared" si="62"/>
        <v>Low</v>
      </c>
    </row>
    <row r="970" spans="1:18">
      <c r="A970" t="s">
        <v>1222</v>
      </c>
      <c r="B970" s="2">
        <v>46197</v>
      </c>
      <c r="C970" s="3">
        <v>0.181944444444444</v>
      </c>
      <c r="D970" t="s">
        <v>158</v>
      </c>
      <c r="E970">
        <v>264.34</v>
      </c>
      <c r="F970" t="s">
        <v>30</v>
      </c>
      <c r="G970" t="s">
        <v>71</v>
      </c>
      <c r="H970" t="s">
        <v>5</v>
      </c>
      <c r="I970" t="s">
        <v>15</v>
      </c>
      <c r="J970" t="s">
        <v>18</v>
      </c>
      <c r="K970">
        <v>65</v>
      </c>
      <c r="L970" t="s">
        <v>49</v>
      </c>
      <c r="M970">
        <v>0</v>
      </c>
      <c r="N970">
        <f t="shared" si="63"/>
        <v>1</v>
      </c>
      <c r="P970" s="4">
        <f t="shared" si="60"/>
        <v>4</v>
      </c>
      <c r="Q970" s="4" t="str">
        <f t="shared" si="61"/>
        <v>Late Night</v>
      </c>
      <c r="R970" s="4" t="str">
        <f t="shared" si="62"/>
        <v>Low</v>
      </c>
    </row>
    <row r="971" spans="1:18">
      <c r="A971" t="s">
        <v>1223</v>
      </c>
      <c r="B971" s="2">
        <v>46197</v>
      </c>
      <c r="C971" s="3">
        <v>0.142361111111111</v>
      </c>
      <c r="D971" t="s">
        <v>443</v>
      </c>
      <c r="E971">
        <v>105.45</v>
      </c>
      <c r="F971" t="s">
        <v>29</v>
      </c>
      <c r="G971" t="s">
        <v>71</v>
      </c>
      <c r="H971" t="s">
        <v>4</v>
      </c>
      <c r="I971" t="s">
        <v>15</v>
      </c>
      <c r="J971" t="s">
        <v>21</v>
      </c>
      <c r="K971">
        <v>32</v>
      </c>
      <c r="L971" t="s">
        <v>49</v>
      </c>
      <c r="M971">
        <v>0</v>
      </c>
      <c r="N971">
        <f t="shared" si="63"/>
        <v>1</v>
      </c>
      <c r="P971" s="4">
        <f t="shared" si="60"/>
        <v>3</v>
      </c>
      <c r="Q971" s="4" t="str">
        <f t="shared" si="61"/>
        <v>Late Night</v>
      </c>
      <c r="R971" s="4" t="str">
        <f t="shared" si="62"/>
        <v>Low</v>
      </c>
    </row>
    <row r="972" spans="1:18">
      <c r="A972" t="s">
        <v>1224</v>
      </c>
      <c r="B972" s="2">
        <v>46197</v>
      </c>
      <c r="C972" s="3">
        <v>0.98125</v>
      </c>
      <c r="D972" t="s">
        <v>58</v>
      </c>
      <c r="E972">
        <v>294.84</v>
      </c>
      <c r="F972" t="s">
        <v>28</v>
      </c>
      <c r="G972" t="s">
        <v>48</v>
      </c>
      <c r="H972" t="s">
        <v>3</v>
      </c>
      <c r="I972" t="s">
        <v>15</v>
      </c>
      <c r="J972" t="s">
        <v>20</v>
      </c>
      <c r="K972">
        <v>48</v>
      </c>
      <c r="L972" t="s">
        <v>49</v>
      </c>
      <c r="M972">
        <v>0</v>
      </c>
      <c r="N972">
        <f t="shared" si="63"/>
        <v>1</v>
      </c>
      <c r="P972" s="4">
        <f t="shared" si="60"/>
        <v>23</v>
      </c>
      <c r="Q972" s="4" t="str">
        <f t="shared" si="61"/>
        <v>Late Night</v>
      </c>
      <c r="R972" s="4" t="str">
        <f t="shared" si="62"/>
        <v>Low</v>
      </c>
    </row>
    <row r="973" spans="1:18">
      <c r="A973" t="s">
        <v>1225</v>
      </c>
      <c r="B973" s="2">
        <v>46197</v>
      </c>
      <c r="C973" s="3">
        <v>0.239583333333333</v>
      </c>
      <c r="D973" t="s">
        <v>594</v>
      </c>
      <c r="E973">
        <v>138.5</v>
      </c>
      <c r="F973" t="s">
        <v>31</v>
      </c>
      <c r="G973" t="s">
        <v>54</v>
      </c>
      <c r="H973" t="s">
        <v>7</v>
      </c>
      <c r="I973" t="s">
        <v>15</v>
      </c>
      <c r="J973" t="s">
        <v>21</v>
      </c>
      <c r="K973">
        <v>59</v>
      </c>
      <c r="L973" t="s">
        <v>49</v>
      </c>
      <c r="M973">
        <v>0</v>
      </c>
      <c r="N973">
        <f t="shared" si="63"/>
        <v>1</v>
      </c>
      <c r="P973" s="4">
        <f t="shared" si="60"/>
        <v>5</v>
      </c>
      <c r="Q973" s="4" t="str">
        <f t="shared" si="61"/>
        <v>Late Night</v>
      </c>
      <c r="R973" s="4" t="str">
        <f t="shared" si="62"/>
        <v>Low</v>
      </c>
    </row>
    <row r="974" spans="1:18">
      <c r="A974" t="s">
        <v>1226</v>
      </c>
      <c r="B974" s="2">
        <v>46198</v>
      </c>
      <c r="C974" s="3">
        <v>0.0645833333333333</v>
      </c>
      <c r="D974" t="s">
        <v>147</v>
      </c>
      <c r="E974">
        <v>108.46</v>
      </c>
      <c r="F974" t="s">
        <v>28</v>
      </c>
      <c r="G974" t="s">
        <v>54</v>
      </c>
      <c r="H974" t="s">
        <v>5</v>
      </c>
      <c r="I974" t="s">
        <v>14</v>
      </c>
      <c r="J974" t="s">
        <v>23</v>
      </c>
      <c r="K974">
        <v>58</v>
      </c>
      <c r="L974" t="s">
        <v>85</v>
      </c>
      <c r="M974">
        <v>1</v>
      </c>
      <c r="N974">
        <f t="shared" si="63"/>
        <v>1</v>
      </c>
      <c r="P974" s="4">
        <f t="shared" si="60"/>
        <v>1</v>
      </c>
      <c r="Q974" s="4" t="str">
        <f t="shared" si="61"/>
        <v>Late Night</v>
      </c>
      <c r="R974" s="4" t="str">
        <f t="shared" si="62"/>
        <v>Low</v>
      </c>
    </row>
    <row r="975" spans="1:18">
      <c r="A975" t="s">
        <v>1227</v>
      </c>
      <c r="B975" s="2">
        <v>46198</v>
      </c>
      <c r="C975" s="3">
        <v>0.811111111111111</v>
      </c>
      <c r="D975" t="s">
        <v>190</v>
      </c>
      <c r="E975">
        <v>524.27</v>
      </c>
      <c r="F975" t="s">
        <v>28</v>
      </c>
      <c r="G975" t="s">
        <v>71</v>
      </c>
      <c r="H975" t="s">
        <v>9</v>
      </c>
      <c r="I975" t="s">
        <v>15</v>
      </c>
      <c r="J975" t="s">
        <v>22</v>
      </c>
      <c r="K975">
        <v>60</v>
      </c>
      <c r="L975" t="s">
        <v>49</v>
      </c>
      <c r="M975">
        <v>0</v>
      </c>
      <c r="N975">
        <f t="shared" si="63"/>
        <v>1</v>
      </c>
      <c r="P975" s="4">
        <f t="shared" si="60"/>
        <v>19</v>
      </c>
      <c r="Q975" s="4" t="str">
        <f t="shared" si="61"/>
        <v>Late Night</v>
      </c>
      <c r="R975" s="4" t="str">
        <f t="shared" si="62"/>
        <v>Low</v>
      </c>
    </row>
    <row r="976" spans="1:18">
      <c r="A976" t="s">
        <v>1228</v>
      </c>
      <c r="B976" s="2">
        <v>46198</v>
      </c>
      <c r="C976" s="3">
        <v>0.41875</v>
      </c>
      <c r="D976" t="s">
        <v>91</v>
      </c>
      <c r="E976">
        <v>107.12</v>
      </c>
      <c r="F976" t="s">
        <v>30</v>
      </c>
      <c r="G976" t="s">
        <v>66</v>
      </c>
      <c r="H976" t="s">
        <v>7</v>
      </c>
      <c r="I976" t="s">
        <v>15</v>
      </c>
      <c r="J976" t="s">
        <v>22</v>
      </c>
      <c r="K976">
        <v>33</v>
      </c>
      <c r="L976" t="s">
        <v>49</v>
      </c>
      <c r="M976">
        <v>0</v>
      </c>
      <c r="N976">
        <f t="shared" si="63"/>
        <v>1</v>
      </c>
      <c r="P976" s="4">
        <f t="shared" si="60"/>
        <v>10</v>
      </c>
      <c r="Q976" s="4" t="str">
        <f t="shared" si="61"/>
        <v>Late Night</v>
      </c>
      <c r="R976" s="4" t="str">
        <f t="shared" si="62"/>
        <v>Low</v>
      </c>
    </row>
    <row r="977" spans="1:18">
      <c r="A977" t="s">
        <v>1229</v>
      </c>
      <c r="B977" s="2">
        <v>46198</v>
      </c>
      <c r="C977" s="3">
        <v>0.136111111111111</v>
      </c>
      <c r="D977" t="s">
        <v>118</v>
      </c>
      <c r="E977">
        <v>559.61</v>
      </c>
      <c r="F977" t="s">
        <v>28</v>
      </c>
      <c r="G977" t="s">
        <v>48</v>
      </c>
      <c r="H977" t="s">
        <v>5</v>
      </c>
      <c r="I977" t="s">
        <v>15</v>
      </c>
      <c r="J977" t="s">
        <v>20</v>
      </c>
      <c r="K977">
        <v>27</v>
      </c>
      <c r="L977" t="s">
        <v>49</v>
      </c>
      <c r="M977">
        <v>0</v>
      </c>
      <c r="N977">
        <f t="shared" si="63"/>
        <v>1</v>
      </c>
      <c r="P977" s="4">
        <f t="shared" si="60"/>
        <v>3</v>
      </c>
      <c r="Q977" s="4" t="str">
        <f t="shared" si="61"/>
        <v>Late Night</v>
      </c>
      <c r="R977" s="4" t="str">
        <f t="shared" si="62"/>
        <v>Low</v>
      </c>
    </row>
    <row r="978" spans="1:18">
      <c r="A978" t="s">
        <v>1230</v>
      </c>
      <c r="B978" s="2">
        <v>46198</v>
      </c>
      <c r="C978" s="3">
        <v>0.606944444444444</v>
      </c>
      <c r="D978" t="s">
        <v>649</v>
      </c>
      <c r="E978">
        <v>100.26</v>
      </c>
      <c r="F978" t="s">
        <v>31</v>
      </c>
      <c r="G978" t="s">
        <v>54</v>
      </c>
      <c r="H978" t="s">
        <v>8</v>
      </c>
      <c r="I978" t="s">
        <v>16</v>
      </c>
      <c r="J978" t="s">
        <v>19</v>
      </c>
      <c r="K978">
        <v>49</v>
      </c>
      <c r="L978" t="s">
        <v>49</v>
      </c>
      <c r="M978">
        <v>0</v>
      </c>
      <c r="N978">
        <f t="shared" si="63"/>
        <v>1</v>
      </c>
      <c r="P978" s="4">
        <f t="shared" si="60"/>
        <v>14</v>
      </c>
      <c r="Q978" s="4" t="str">
        <f t="shared" si="61"/>
        <v>Late Night</v>
      </c>
      <c r="R978" s="4" t="str">
        <f t="shared" si="62"/>
        <v>Low</v>
      </c>
    </row>
    <row r="979" spans="1:18">
      <c r="A979" t="s">
        <v>1231</v>
      </c>
      <c r="B979" s="2">
        <v>46199</v>
      </c>
      <c r="C979" s="3">
        <v>0.216666666666667</v>
      </c>
      <c r="D979" t="s">
        <v>392</v>
      </c>
      <c r="E979">
        <v>1420.11</v>
      </c>
      <c r="F979" t="s">
        <v>32</v>
      </c>
      <c r="G979" t="s">
        <v>59</v>
      </c>
      <c r="H979" t="s">
        <v>4</v>
      </c>
      <c r="I979" t="s">
        <v>15</v>
      </c>
      <c r="J979" t="s">
        <v>22</v>
      </c>
      <c r="K979">
        <v>19</v>
      </c>
      <c r="L979" t="s">
        <v>49</v>
      </c>
      <c r="M979">
        <v>0</v>
      </c>
      <c r="N979">
        <f t="shared" si="63"/>
        <v>1</v>
      </c>
      <c r="P979" s="4">
        <f t="shared" si="60"/>
        <v>5</v>
      </c>
      <c r="Q979" s="4" t="str">
        <f t="shared" si="61"/>
        <v>Late Night</v>
      </c>
      <c r="R979" s="4" t="str">
        <f t="shared" si="62"/>
        <v>Medium</v>
      </c>
    </row>
    <row r="980" spans="1:18">
      <c r="A980" t="s">
        <v>1232</v>
      </c>
      <c r="B980" s="2">
        <v>46199</v>
      </c>
      <c r="C980" s="3">
        <v>0.902777777777778</v>
      </c>
      <c r="D980" t="s">
        <v>472</v>
      </c>
      <c r="E980">
        <v>35.14</v>
      </c>
      <c r="F980" t="s">
        <v>31</v>
      </c>
      <c r="G980" t="s">
        <v>54</v>
      </c>
      <c r="H980" t="s">
        <v>4</v>
      </c>
      <c r="I980" t="s">
        <v>15</v>
      </c>
      <c r="J980" t="s">
        <v>22</v>
      </c>
      <c r="K980">
        <v>41</v>
      </c>
      <c r="L980" t="s">
        <v>49</v>
      </c>
      <c r="M980">
        <v>0</v>
      </c>
      <c r="N980">
        <f t="shared" si="63"/>
        <v>1</v>
      </c>
      <c r="P980" s="4">
        <f t="shared" si="60"/>
        <v>21</v>
      </c>
      <c r="Q980" s="4" t="str">
        <f t="shared" si="61"/>
        <v>Late Night</v>
      </c>
      <c r="R980" s="4" t="str">
        <f t="shared" si="62"/>
        <v>Low</v>
      </c>
    </row>
    <row r="981" spans="1:18">
      <c r="A981" t="s">
        <v>1233</v>
      </c>
      <c r="B981" s="2">
        <v>46199</v>
      </c>
      <c r="C981" s="3">
        <v>0.693055555555556</v>
      </c>
      <c r="D981" t="s">
        <v>260</v>
      </c>
      <c r="E981">
        <v>69.63</v>
      </c>
      <c r="F981" t="s">
        <v>28</v>
      </c>
      <c r="G981" t="s">
        <v>48</v>
      </c>
      <c r="H981" t="s">
        <v>7</v>
      </c>
      <c r="I981" t="s">
        <v>15</v>
      </c>
      <c r="J981" t="s">
        <v>18</v>
      </c>
      <c r="K981">
        <v>40</v>
      </c>
      <c r="L981" t="s">
        <v>168</v>
      </c>
      <c r="M981">
        <v>1</v>
      </c>
      <c r="N981">
        <f t="shared" si="63"/>
        <v>1</v>
      </c>
      <c r="P981" s="4">
        <f t="shared" si="60"/>
        <v>16</v>
      </c>
      <c r="Q981" s="4" t="str">
        <f t="shared" si="61"/>
        <v>Late Night</v>
      </c>
      <c r="R981" s="4" t="str">
        <f t="shared" si="62"/>
        <v>Low</v>
      </c>
    </row>
    <row r="982" spans="1:18">
      <c r="A982" t="s">
        <v>1234</v>
      </c>
      <c r="B982" s="2">
        <v>46199</v>
      </c>
      <c r="C982" s="3">
        <v>0.968055555555556</v>
      </c>
      <c r="D982" t="s">
        <v>735</v>
      </c>
      <c r="E982">
        <v>155.19</v>
      </c>
      <c r="F982" t="s">
        <v>31</v>
      </c>
      <c r="G982" t="s">
        <v>66</v>
      </c>
      <c r="H982" t="s">
        <v>10</v>
      </c>
      <c r="I982" t="s">
        <v>15</v>
      </c>
      <c r="J982" t="s">
        <v>20</v>
      </c>
      <c r="K982">
        <v>19</v>
      </c>
      <c r="L982" t="s">
        <v>49</v>
      </c>
      <c r="M982">
        <v>0</v>
      </c>
      <c r="N982">
        <f t="shared" si="63"/>
        <v>1</v>
      </c>
      <c r="P982" s="4">
        <f t="shared" si="60"/>
        <v>23</v>
      </c>
      <c r="Q982" s="4" t="str">
        <f t="shared" si="61"/>
        <v>Late Night</v>
      </c>
      <c r="R982" s="4" t="str">
        <f t="shared" si="62"/>
        <v>Low</v>
      </c>
    </row>
    <row r="983" spans="1:18">
      <c r="A983" t="s">
        <v>1235</v>
      </c>
      <c r="B983" s="2">
        <v>46199</v>
      </c>
      <c r="C983" s="3">
        <v>0.245833333333333</v>
      </c>
      <c r="D983" t="s">
        <v>642</v>
      </c>
      <c r="E983">
        <v>24.93</v>
      </c>
      <c r="F983" t="s">
        <v>29</v>
      </c>
      <c r="G983" t="s">
        <v>59</v>
      </c>
      <c r="H983" t="s">
        <v>7</v>
      </c>
      <c r="I983" t="s">
        <v>15</v>
      </c>
      <c r="J983" t="s">
        <v>19</v>
      </c>
      <c r="K983">
        <v>55</v>
      </c>
      <c r="L983" t="s">
        <v>49</v>
      </c>
      <c r="M983">
        <v>0</v>
      </c>
      <c r="N983">
        <f t="shared" si="63"/>
        <v>1</v>
      </c>
      <c r="P983" s="4">
        <f t="shared" si="60"/>
        <v>5</v>
      </c>
      <c r="Q983" s="4" t="str">
        <f t="shared" si="61"/>
        <v>Late Night</v>
      </c>
      <c r="R983" s="4" t="str">
        <f t="shared" si="62"/>
        <v>Low</v>
      </c>
    </row>
    <row r="984" spans="1:18">
      <c r="A984" t="s">
        <v>1236</v>
      </c>
      <c r="B984" s="2">
        <v>46199</v>
      </c>
      <c r="C984" s="3">
        <v>0.769444444444444</v>
      </c>
      <c r="D984" t="s">
        <v>134</v>
      </c>
      <c r="E984">
        <v>20</v>
      </c>
      <c r="F984" t="s">
        <v>30</v>
      </c>
      <c r="G984" t="s">
        <v>66</v>
      </c>
      <c r="H984" t="s">
        <v>6</v>
      </c>
      <c r="I984" t="s">
        <v>15</v>
      </c>
      <c r="J984" t="s">
        <v>20</v>
      </c>
      <c r="K984">
        <v>48</v>
      </c>
      <c r="L984" t="s">
        <v>49</v>
      </c>
      <c r="M984">
        <v>0</v>
      </c>
      <c r="N984">
        <f t="shared" si="63"/>
        <v>1</v>
      </c>
      <c r="P984" s="4">
        <f t="shared" si="60"/>
        <v>18</v>
      </c>
      <c r="Q984" s="4" t="str">
        <f t="shared" si="61"/>
        <v>Late Night</v>
      </c>
      <c r="R984" s="4" t="str">
        <f t="shared" si="62"/>
        <v>Low</v>
      </c>
    </row>
    <row r="985" spans="1:18">
      <c r="A985" t="s">
        <v>1237</v>
      </c>
      <c r="B985" s="2">
        <v>46200</v>
      </c>
      <c r="C985" s="3">
        <v>0.0611111111111111</v>
      </c>
      <c r="D985" t="s">
        <v>118</v>
      </c>
      <c r="E985">
        <v>25.14</v>
      </c>
      <c r="F985" t="s">
        <v>31</v>
      </c>
      <c r="G985" t="s">
        <v>66</v>
      </c>
      <c r="H985" t="s">
        <v>3</v>
      </c>
      <c r="I985" t="s">
        <v>14</v>
      </c>
      <c r="J985" t="s">
        <v>22</v>
      </c>
      <c r="K985">
        <v>57</v>
      </c>
      <c r="L985" t="s">
        <v>49</v>
      </c>
      <c r="M985">
        <v>1</v>
      </c>
      <c r="N985">
        <f t="shared" si="63"/>
        <v>1</v>
      </c>
      <c r="P985" s="4">
        <f t="shared" si="60"/>
        <v>1</v>
      </c>
      <c r="Q985" s="4" t="str">
        <f t="shared" si="61"/>
        <v>Late Night</v>
      </c>
      <c r="R985" s="4" t="str">
        <f t="shared" si="62"/>
        <v>Low</v>
      </c>
    </row>
    <row r="986" spans="1:18">
      <c r="A986" t="s">
        <v>1238</v>
      </c>
      <c r="B986" s="2">
        <v>46200</v>
      </c>
      <c r="C986" s="3">
        <v>0.590277777777778</v>
      </c>
      <c r="D986" t="s">
        <v>609</v>
      </c>
      <c r="E986">
        <v>135.36</v>
      </c>
      <c r="F986" t="s">
        <v>30</v>
      </c>
      <c r="G986" t="s">
        <v>66</v>
      </c>
      <c r="H986" t="s">
        <v>5</v>
      </c>
      <c r="I986" t="s">
        <v>15</v>
      </c>
      <c r="J986" t="s">
        <v>22</v>
      </c>
      <c r="K986">
        <v>43</v>
      </c>
      <c r="L986" t="s">
        <v>49</v>
      </c>
      <c r="M986">
        <v>0</v>
      </c>
      <c r="N986">
        <f t="shared" si="63"/>
        <v>1</v>
      </c>
      <c r="P986" s="4">
        <f t="shared" si="60"/>
        <v>14</v>
      </c>
      <c r="Q986" s="4" t="str">
        <f t="shared" si="61"/>
        <v>Late Night</v>
      </c>
      <c r="R986" s="4" t="str">
        <f t="shared" si="62"/>
        <v>Low</v>
      </c>
    </row>
    <row r="987" spans="1:18">
      <c r="A987" t="s">
        <v>1239</v>
      </c>
      <c r="B987" s="2">
        <v>46200</v>
      </c>
      <c r="C987" s="3">
        <v>0.452083333333333</v>
      </c>
      <c r="D987" t="s">
        <v>221</v>
      </c>
      <c r="E987">
        <v>138.84</v>
      </c>
      <c r="F987" t="s">
        <v>31</v>
      </c>
      <c r="G987" t="s">
        <v>54</v>
      </c>
      <c r="H987" t="s">
        <v>7</v>
      </c>
      <c r="I987" t="s">
        <v>14</v>
      </c>
      <c r="J987" t="s">
        <v>22</v>
      </c>
      <c r="K987">
        <v>46</v>
      </c>
      <c r="L987" t="s">
        <v>49</v>
      </c>
      <c r="M987">
        <v>0</v>
      </c>
      <c r="N987">
        <f t="shared" si="63"/>
        <v>1</v>
      </c>
      <c r="P987" s="4">
        <f t="shared" si="60"/>
        <v>10</v>
      </c>
      <c r="Q987" s="4" t="str">
        <f t="shared" si="61"/>
        <v>Late Night</v>
      </c>
      <c r="R987" s="4" t="str">
        <f t="shared" si="62"/>
        <v>Low</v>
      </c>
    </row>
    <row r="988" spans="1:18">
      <c r="A988" t="s">
        <v>1240</v>
      </c>
      <c r="B988" s="2">
        <v>46200</v>
      </c>
      <c r="C988" s="3">
        <v>0.313194444444444</v>
      </c>
      <c r="D988" t="s">
        <v>579</v>
      </c>
      <c r="E988">
        <v>252.9</v>
      </c>
      <c r="F988" t="s">
        <v>30</v>
      </c>
      <c r="G988" t="s">
        <v>59</v>
      </c>
      <c r="H988" t="s">
        <v>3</v>
      </c>
      <c r="I988" t="s">
        <v>15</v>
      </c>
      <c r="J988" t="s">
        <v>24</v>
      </c>
      <c r="K988">
        <v>20</v>
      </c>
      <c r="L988" t="s">
        <v>49</v>
      </c>
      <c r="M988">
        <v>0</v>
      </c>
      <c r="N988">
        <f t="shared" si="63"/>
        <v>1</v>
      </c>
      <c r="P988" s="4">
        <f t="shared" si="60"/>
        <v>7</v>
      </c>
      <c r="Q988" s="4" t="str">
        <f t="shared" si="61"/>
        <v>Late Night</v>
      </c>
      <c r="R988" s="4" t="str">
        <f t="shared" si="62"/>
        <v>Low</v>
      </c>
    </row>
    <row r="989" spans="1:18">
      <c r="A989" t="s">
        <v>1241</v>
      </c>
      <c r="B989" s="2">
        <v>46200</v>
      </c>
      <c r="C989" s="3">
        <v>0.750694444444444</v>
      </c>
      <c r="D989" t="s">
        <v>182</v>
      </c>
      <c r="E989">
        <v>148.86</v>
      </c>
      <c r="F989" t="s">
        <v>29</v>
      </c>
      <c r="G989" t="s">
        <v>48</v>
      </c>
      <c r="H989" t="s">
        <v>6</v>
      </c>
      <c r="I989" t="s">
        <v>15</v>
      </c>
      <c r="J989" t="s">
        <v>23</v>
      </c>
      <c r="K989">
        <v>31</v>
      </c>
      <c r="L989" t="s">
        <v>49</v>
      </c>
      <c r="M989">
        <v>0</v>
      </c>
      <c r="N989">
        <f t="shared" si="63"/>
        <v>1</v>
      </c>
      <c r="P989" s="4">
        <f t="shared" si="60"/>
        <v>18</v>
      </c>
      <c r="Q989" s="4" t="str">
        <f t="shared" si="61"/>
        <v>Late Night</v>
      </c>
      <c r="R989" s="4" t="str">
        <f t="shared" si="62"/>
        <v>Low</v>
      </c>
    </row>
    <row r="990" spans="1:18">
      <c r="A990" t="s">
        <v>1242</v>
      </c>
      <c r="B990" s="2">
        <v>46201</v>
      </c>
      <c r="C990" s="3">
        <v>0.531944444444444</v>
      </c>
      <c r="D990" t="s">
        <v>80</v>
      </c>
      <c r="E990">
        <v>244.57</v>
      </c>
      <c r="F990" t="s">
        <v>30</v>
      </c>
      <c r="G990" t="s">
        <v>59</v>
      </c>
      <c r="H990" t="s">
        <v>8</v>
      </c>
      <c r="I990" t="s">
        <v>15</v>
      </c>
      <c r="J990" t="s">
        <v>21</v>
      </c>
      <c r="K990">
        <v>42</v>
      </c>
      <c r="L990" t="s">
        <v>49</v>
      </c>
      <c r="M990">
        <v>0</v>
      </c>
      <c r="N990">
        <f t="shared" si="63"/>
        <v>1</v>
      </c>
      <c r="P990" s="4">
        <f t="shared" si="60"/>
        <v>12</v>
      </c>
      <c r="Q990" s="4" t="str">
        <f t="shared" si="61"/>
        <v>Late Night</v>
      </c>
      <c r="R990" s="4" t="str">
        <f t="shared" si="62"/>
        <v>Low</v>
      </c>
    </row>
    <row r="991" spans="1:18">
      <c r="A991" t="s">
        <v>1243</v>
      </c>
      <c r="B991" s="2">
        <v>46201</v>
      </c>
      <c r="C991" s="3">
        <v>0.467361111111111</v>
      </c>
      <c r="D991" t="s">
        <v>579</v>
      </c>
      <c r="E991">
        <v>115.56</v>
      </c>
      <c r="F991" t="s">
        <v>31</v>
      </c>
      <c r="G991" t="s">
        <v>48</v>
      </c>
      <c r="H991" t="s">
        <v>8</v>
      </c>
      <c r="I991" t="s">
        <v>15</v>
      </c>
      <c r="J991" t="s">
        <v>23</v>
      </c>
      <c r="K991">
        <v>65</v>
      </c>
      <c r="L991" t="s">
        <v>49</v>
      </c>
      <c r="M991">
        <v>0</v>
      </c>
      <c r="N991">
        <f t="shared" si="63"/>
        <v>1</v>
      </c>
      <c r="P991" s="4">
        <f t="shared" si="60"/>
        <v>11</v>
      </c>
      <c r="Q991" s="4" t="str">
        <f t="shared" si="61"/>
        <v>Late Night</v>
      </c>
      <c r="R991" s="4" t="str">
        <f t="shared" si="62"/>
        <v>Low</v>
      </c>
    </row>
    <row r="992" spans="1:18">
      <c r="A992" t="s">
        <v>1244</v>
      </c>
      <c r="B992" s="2">
        <v>46201</v>
      </c>
      <c r="C992" s="3">
        <v>0.179861111111111</v>
      </c>
      <c r="D992" t="s">
        <v>143</v>
      </c>
      <c r="E992">
        <v>370.49</v>
      </c>
      <c r="F992" t="s">
        <v>32</v>
      </c>
      <c r="G992" t="s">
        <v>59</v>
      </c>
      <c r="H992" t="s">
        <v>3</v>
      </c>
      <c r="I992" t="s">
        <v>14</v>
      </c>
      <c r="J992" t="s">
        <v>20</v>
      </c>
      <c r="K992">
        <v>18</v>
      </c>
      <c r="L992" t="s">
        <v>49</v>
      </c>
      <c r="M992">
        <v>1</v>
      </c>
      <c r="N992">
        <f t="shared" si="63"/>
        <v>1</v>
      </c>
      <c r="P992" s="4">
        <f t="shared" si="60"/>
        <v>4</v>
      </c>
      <c r="Q992" s="4" t="str">
        <f t="shared" si="61"/>
        <v>Late Night</v>
      </c>
      <c r="R992" s="4" t="str">
        <f t="shared" si="62"/>
        <v>Low</v>
      </c>
    </row>
    <row r="993" spans="1:18">
      <c r="A993" t="s">
        <v>1245</v>
      </c>
      <c r="B993" s="2">
        <v>46201</v>
      </c>
      <c r="C993" s="3">
        <v>0.222916666666667</v>
      </c>
      <c r="D993" t="s">
        <v>308</v>
      </c>
      <c r="E993">
        <v>328.43</v>
      </c>
      <c r="F993" t="s">
        <v>29</v>
      </c>
      <c r="G993" t="s">
        <v>48</v>
      </c>
      <c r="H993" t="s">
        <v>7</v>
      </c>
      <c r="I993" t="s">
        <v>15</v>
      </c>
      <c r="J993" t="s">
        <v>18</v>
      </c>
      <c r="K993">
        <v>20</v>
      </c>
      <c r="L993" t="s">
        <v>49</v>
      </c>
      <c r="M993">
        <v>0</v>
      </c>
      <c r="N993">
        <f t="shared" si="63"/>
        <v>1</v>
      </c>
      <c r="P993" s="4">
        <f t="shared" si="60"/>
        <v>5</v>
      </c>
      <c r="Q993" s="4" t="str">
        <f t="shared" si="61"/>
        <v>Late Night</v>
      </c>
      <c r="R993" s="4" t="str">
        <f t="shared" si="62"/>
        <v>Low</v>
      </c>
    </row>
    <row r="994" spans="1:18">
      <c r="A994" t="s">
        <v>1246</v>
      </c>
      <c r="B994" s="2">
        <v>46201</v>
      </c>
      <c r="C994" s="3">
        <v>0.881944444444444</v>
      </c>
      <c r="D994" t="s">
        <v>68</v>
      </c>
      <c r="E994">
        <v>130.75</v>
      </c>
      <c r="F994" t="s">
        <v>31</v>
      </c>
      <c r="G994" t="s">
        <v>48</v>
      </c>
      <c r="H994" t="s">
        <v>4</v>
      </c>
      <c r="I994" t="s">
        <v>15</v>
      </c>
      <c r="J994" t="s">
        <v>21</v>
      </c>
      <c r="K994">
        <v>43</v>
      </c>
      <c r="L994" t="s">
        <v>49</v>
      </c>
      <c r="M994">
        <v>0</v>
      </c>
      <c r="N994">
        <f t="shared" si="63"/>
        <v>1</v>
      </c>
      <c r="P994" s="4">
        <f t="shared" si="60"/>
        <v>21</v>
      </c>
      <c r="Q994" s="4" t="str">
        <f t="shared" si="61"/>
        <v>Late Night</v>
      </c>
      <c r="R994" s="4" t="str">
        <f t="shared" si="62"/>
        <v>Low</v>
      </c>
    </row>
    <row r="995" spans="1:18">
      <c r="A995" t="s">
        <v>1247</v>
      </c>
      <c r="B995" s="2">
        <v>46201</v>
      </c>
      <c r="C995" s="3">
        <v>0.143055555555556</v>
      </c>
      <c r="D995" t="s">
        <v>61</v>
      </c>
      <c r="E995">
        <v>308.9</v>
      </c>
      <c r="F995" t="s">
        <v>30</v>
      </c>
      <c r="G995" t="s">
        <v>48</v>
      </c>
      <c r="H995" t="s">
        <v>5</v>
      </c>
      <c r="I995" t="s">
        <v>15</v>
      </c>
      <c r="J995" t="s">
        <v>18</v>
      </c>
      <c r="K995">
        <v>35</v>
      </c>
      <c r="L995" t="s">
        <v>49</v>
      </c>
      <c r="M995">
        <v>1</v>
      </c>
      <c r="N995">
        <f t="shared" si="63"/>
        <v>1</v>
      </c>
      <c r="P995" s="4">
        <f t="shared" si="60"/>
        <v>3</v>
      </c>
      <c r="Q995" s="4" t="str">
        <f t="shared" si="61"/>
        <v>Late Night</v>
      </c>
      <c r="R995" s="4" t="str">
        <f t="shared" si="62"/>
        <v>Low</v>
      </c>
    </row>
    <row r="996" spans="1:18">
      <c r="A996" t="s">
        <v>1248</v>
      </c>
      <c r="B996" s="2">
        <v>46202</v>
      </c>
      <c r="C996" s="3">
        <v>0.751388888888889</v>
      </c>
      <c r="D996" t="s">
        <v>528</v>
      </c>
      <c r="E996">
        <v>149.81</v>
      </c>
      <c r="F996" t="s">
        <v>31</v>
      </c>
      <c r="G996" t="s">
        <v>48</v>
      </c>
      <c r="H996" t="s">
        <v>5</v>
      </c>
      <c r="I996" t="s">
        <v>16</v>
      </c>
      <c r="J996" t="s">
        <v>19</v>
      </c>
      <c r="K996">
        <v>26</v>
      </c>
      <c r="L996" t="s">
        <v>159</v>
      </c>
      <c r="M996">
        <v>0</v>
      </c>
      <c r="N996">
        <f t="shared" si="63"/>
        <v>1</v>
      </c>
      <c r="P996" s="4">
        <f t="shared" si="60"/>
        <v>18</v>
      </c>
      <c r="Q996" s="4" t="str">
        <f t="shared" si="61"/>
        <v>Late Night</v>
      </c>
      <c r="R996" s="4" t="str">
        <f t="shared" si="62"/>
        <v>Low</v>
      </c>
    </row>
    <row r="997" spans="1:18">
      <c r="A997" t="s">
        <v>1249</v>
      </c>
      <c r="B997" s="2">
        <v>46202</v>
      </c>
      <c r="C997" s="3">
        <v>0.802777777777778</v>
      </c>
      <c r="D997" t="s">
        <v>754</v>
      </c>
      <c r="E997">
        <v>39.55</v>
      </c>
      <c r="F997" t="s">
        <v>30</v>
      </c>
      <c r="G997" t="s">
        <v>59</v>
      </c>
      <c r="H997" t="s">
        <v>8</v>
      </c>
      <c r="I997" t="s">
        <v>15</v>
      </c>
      <c r="J997" t="s">
        <v>24</v>
      </c>
      <c r="K997">
        <v>55</v>
      </c>
      <c r="L997" t="s">
        <v>49</v>
      </c>
      <c r="M997">
        <v>0</v>
      </c>
      <c r="N997">
        <f t="shared" si="63"/>
        <v>1</v>
      </c>
      <c r="P997" s="4">
        <f t="shared" si="60"/>
        <v>19</v>
      </c>
      <c r="Q997" s="4" t="str">
        <f t="shared" si="61"/>
        <v>Late Night</v>
      </c>
      <c r="R997" s="4" t="str">
        <f t="shared" si="62"/>
        <v>Low</v>
      </c>
    </row>
    <row r="998" spans="1:18">
      <c r="A998" t="s">
        <v>1250</v>
      </c>
      <c r="B998" s="2">
        <v>46202</v>
      </c>
      <c r="C998" s="3">
        <v>0.0298611111111111</v>
      </c>
      <c r="D998" t="s">
        <v>773</v>
      </c>
      <c r="E998">
        <v>447.87</v>
      </c>
      <c r="F998" t="s">
        <v>31</v>
      </c>
      <c r="G998" t="s">
        <v>59</v>
      </c>
      <c r="H998" t="s">
        <v>8</v>
      </c>
      <c r="I998" t="s">
        <v>16</v>
      </c>
      <c r="J998" t="s">
        <v>20</v>
      </c>
      <c r="K998">
        <v>40</v>
      </c>
      <c r="L998" t="s">
        <v>85</v>
      </c>
      <c r="M998">
        <v>1</v>
      </c>
      <c r="N998">
        <f t="shared" si="63"/>
        <v>1</v>
      </c>
      <c r="P998" s="4">
        <f t="shared" si="60"/>
        <v>0</v>
      </c>
      <c r="Q998" s="4" t="str">
        <f t="shared" si="61"/>
        <v>Late Night</v>
      </c>
      <c r="R998" s="4" t="str">
        <f t="shared" si="62"/>
        <v>Low</v>
      </c>
    </row>
    <row r="999" spans="1:18">
      <c r="A999" t="s">
        <v>1251</v>
      </c>
      <c r="B999" s="2">
        <v>46202</v>
      </c>
      <c r="C999" s="3">
        <v>0.829861111111111</v>
      </c>
      <c r="D999" t="s">
        <v>596</v>
      </c>
      <c r="E999">
        <v>73.2</v>
      </c>
      <c r="F999" t="s">
        <v>29</v>
      </c>
      <c r="G999" t="s">
        <v>54</v>
      </c>
      <c r="H999" t="s">
        <v>4</v>
      </c>
      <c r="I999" t="s">
        <v>15</v>
      </c>
      <c r="J999" t="s">
        <v>24</v>
      </c>
      <c r="K999">
        <v>38</v>
      </c>
      <c r="L999" t="s">
        <v>49</v>
      </c>
      <c r="M999">
        <v>0</v>
      </c>
      <c r="N999">
        <f t="shared" si="63"/>
        <v>1</v>
      </c>
      <c r="P999" s="4">
        <f t="shared" si="60"/>
        <v>19</v>
      </c>
      <c r="Q999" s="4" t="str">
        <f t="shared" si="61"/>
        <v>Late Night</v>
      </c>
      <c r="R999" s="4" t="str">
        <f t="shared" si="62"/>
        <v>Low</v>
      </c>
    </row>
    <row r="1000" spans="1:18">
      <c r="A1000" t="s">
        <v>1252</v>
      </c>
      <c r="B1000" s="2">
        <v>46202</v>
      </c>
      <c r="C1000" s="3">
        <v>0.685416666666667</v>
      </c>
      <c r="D1000" t="s">
        <v>361</v>
      </c>
      <c r="E1000">
        <v>443.11</v>
      </c>
      <c r="F1000" t="s">
        <v>28</v>
      </c>
      <c r="G1000" t="s">
        <v>48</v>
      </c>
      <c r="H1000" t="s">
        <v>10</v>
      </c>
      <c r="I1000" t="s">
        <v>15</v>
      </c>
      <c r="J1000" t="s">
        <v>20</v>
      </c>
      <c r="K1000">
        <v>18</v>
      </c>
      <c r="L1000" t="s">
        <v>49</v>
      </c>
      <c r="M1000">
        <v>1</v>
      </c>
      <c r="N1000">
        <f t="shared" si="63"/>
        <v>1</v>
      </c>
      <c r="P1000" s="4">
        <f t="shared" si="60"/>
        <v>16</v>
      </c>
      <c r="Q1000" s="4" t="str">
        <f t="shared" si="61"/>
        <v>Late Night</v>
      </c>
      <c r="R1000" s="4" t="str">
        <f t="shared" si="62"/>
        <v>Low</v>
      </c>
    </row>
    <row r="1001" spans="1:18">
      <c r="A1001" t="s">
        <v>1253</v>
      </c>
      <c r="B1001" s="2">
        <v>46203</v>
      </c>
      <c r="C1001" s="3">
        <v>0.477777777777778</v>
      </c>
      <c r="D1001" t="s">
        <v>488</v>
      </c>
      <c r="E1001">
        <v>250.64</v>
      </c>
      <c r="F1001" t="s">
        <v>31</v>
      </c>
      <c r="G1001" t="s">
        <v>48</v>
      </c>
      <c r="H1001" t="s">
        <v>7</v>
      </c>
      <c r="I1001" t="s">
        <v>15</v>
      </c>
      <c r="J1001" t="s">
        <v>18</v>
      </c>
      <c r="K1001">
        <v>38</v>
      </c>
      <c r="L1001" t="s">
        <v>49</v>
      </c>
      <c r="M1001">
        <v>0</v>
      </c>
      <c r="N1001">
        <f t="shared" si="63"/>
        <v>1</v>
      </c>
      <c r="P1001" s="4">
        <f t="shared" si="60"/>
        <v>11</v>
      </c>
      <c r="Q1001" s="4" t="str">
        <f t="shared" si="61"/>
        <v>Late Night</v>
      </c>
      <c r="R1001" s="4" t="str">
        <f t="shared" si="62"/>
        <v>Low</v>
      </c>
    </row>
  </sheetData>
  <conditionalFormatting sqref="A$1:A$1048576">
    <cfRule type="duplicateValues" dxfId="6" priority="1"/>
  </conditionalFormatting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2"/>
  <sheetViews>
    <sheetView workbookViewId="0">
      <selection activeCell="A1" sqref="A1:B1001"/>
    </sheetView>
  </sheetViews>
  <sheetFormatPr defaultColWidth="8.88888888888889" defaultRowHeight="14.4" outlineLevelCol="1"/>
  <sheetData>
    <row r="1" spans="1:2">
      <c r="A1" t="s">
        <v>1254</v>
      </c>
      <c r="B1" t="s">
        <v>1255</v>
      </c>
    </row>
    <row r="2" spans="1:2">
      <c r="A2" t="s">
        <v>46</v>
      </c>
      <c r="B2">
        <v>1</v>
      </c>
    </row>
    <row r="3" spans="1:2">
      <c r="A3" t="s">
        <v>50</v>
      </c>
      <c r="B3">
        <v>1</v>
      </c>
    </row>
    <row r="4" spans="1:2">
      <c r="A4" t="s">
        <v>52</v>
      </c>
      <c r="B4">
        <v>1</v>
      </c>
    </row>
    <row r="5" spans="1:2">
      <c r="A5" t="s">
        <v>55</v>
      </c>
      <c r="B5">
        <v>1</v>
      </c>
    </row>
    <row r="6" spans="1:2">
      <c r="A6" t="s">
        <v>57</v>
      </c>
      <c r="B6">
        <v>1</v>
      </c>
    </row>
    <row r="7" spans="1:2">
      <c r="A7" t="s">
        <v>60</v>
      </c>
      <c r="B7">
        <v>1</v>
      </c>
    </row>
    <row r="8" spans="1:2">
      <c r="A8" t="s">
        <v>62</v>
      </c>
      <c r="B8">
        <v>1</v>
      </c>
    </row>
    <row r="9" spans="1:2">
      <c r="A9" t="s">
        <v>64</v>
      </c>
      <c r="B9">
        <v>1</v>
      </c>
    </row>
    <row r="10" spans="1:2">
      <c r="A10" t="s">
        <v>67</v>
      </c>
      <c r="B10">
        <v>1</v>
      </c>
    </row>
    <row r="11" spans="1:2">
      <c r="A11" t="s">
        <v>69</v>
      </c>
      <c r="B11">
        <v>1</v>
      </c>
    </row>
    <row r="12" spans="1:2">
      <c r="A12" t="s">
        <v>72</v>
      </c>
      <c r="B12">
        <v>1</v>
      </c>
    </row>
    <row r="13" spans="1:2">
      <c r="A13" t="s">
        <v>74</v>
      </c>
      <c r="B13">
        <v>1</v>
      </c>
    </row>
    <row r="14" spans="1:2">
      <c r="A14" t="s">
        <v>76</v>
      </c>
      <c r="B14">
        <v>1</v>
      </c>
    </row>
    <row r="15" spans="1:2">
      <c r="A15" t="s">
        <v>78</v>
      </c>
      <c r="B15">
        <v>1</v>
      </c>
    </row>
    <row r="16" spans="1:2">
      <c r="A16" t="s">
        <v>79</v>
      </c>
      <c r="B16">
        <v>1</v>
      </c>
    </row>
    <row r="17" spans="1:2">
      <c r="A17" t="s">
        <v>81</v>
      </c>
      <c r="B17">
        <v>1</v>
      </c>
    </row>
    <row r="18" spans="1:2">
      <c r="A18" t="s">
        <v>83</v>
      </c>
      <c r="B18">
        <v>1</v>
      </c>
    </row>
    <row r="19" spans="1:2">
      <c r="A19" t="s">
        <v>86</v>
      </c>
      <c r="B19">
        <v>1</v>
      </c>
    </row>
    <row r="20" spans="1:2">
      <c r="A20" t="s">
        <v>88</v>
      </c>
      <c r="B20">
        <v>1</v>
      </c>
    </row>
    <row r="21" spans="1:2">
      <c r="A21" t="s">
        <v>90</v>
      </c>
      <c r="B21">
        <v>1</v>
      </c>
    </row>
    <row r="22" spans="1:2">
      <c r="A22" t="s">
        <v>92</v>
      </c>
      <c r="B22">
        <v>1</v>
      </c>
    </row>
    <row r="23" spans="1:2">
      <c r="A23" t="s">
        <v>94</v>
      </c>
      <c r="B23">
        <v>1</v>
      </c>
    </row>
    <row r="24" spans="1:2">
      <c r="A24" t="s">
        <v>96</v>
      </c>
      <c r="B24">
        <v>1</v>
      </c>
    </row>
    <row r="25" spans="1:2">
      <c r="A25" t="s">
        <v>98</v>
      </c>
      <c r="B25">
        <v>1</v>
      </c>
    </row>
    <row r="26" spans="1:2">
      <c r="A26" t="s">
        <v>100</v>
      </c>
      <c r="B26">
        <v>1</v>
      </c>
    </row>
    <row r="27" spans="1:2">
      <c r="A27" t="s">
        <v>102</v>
      </c>
      <c r="B27">
        <v>1</v>
      </c>
    </row>
    <row r="28" spans="1:2">
      <c r="A28" t="s">
        <v>104</v>
      </c>
      <c r="B28">
        <v>1</v>
      </c>
    </row>
    <row r="29" spans="1:2">
      <c r="A29" t="s">
        <v>106</v>
      </c>
      <c r="B29">
        <v>1</v>
      </c>
    </row>
    <row r="30" spans="1:2">
      <c r="A30" t="s">
        <v>107</v>
      </c>
      <c r="B30">
        <v>1</v>
      </c>
    </row>
    <row r="31" spans="1:2">
      <c r="A31" t="s">
        <v>109</v>
      </c>
      <c r="B31">
        <v>1</v>
      </c>
    </row>
    <row r="32" spans="1:2">
      <c r="A32" t="s">
        <v>111</v>
      </c>
      <c r="B32">
        <v>1</v>
      </c>
    </row>
    <row r="33" spans="1:2">
      <c r="A33" t="s">
        <v>113</v>
      </c>
      <c r="B33">
        <v>1</v>
      </c>
    </row>
    <row r="34" spans="1:2">
      <c r="A34" t="s">
        <v>115</v>
      </c>
      <c r="B34">
        <v>1</v>
      </c>
    </row>
    <row r="35" spans="1:2">
      <c r="A35" t="s">
        <v>117</v>
      </c>
      <c r="B35">
        <v>1</v>
      </c>
    </row>
    <row r="36" spans="1:2">
      <c r="A36" t="s">
        <v>119</v>
      </c>
      <c r="B36">
        <v>1</v>
      </c>
    </row>
    <row r="37" spans="1:2">
      <c r="A37" t="s">
        <v>120</v>
      </c>
      <c r="B37">
        <v>1</v>
      </c>
    </row>
    <row r="38" spans="1:2">
      <c r="A38" t="s">
        <v>122</v>
      </c>
      <c r="B38">
        <v>1</v>
      </c>
    </row>
    <row r="39" spans="1:2">
      <c r="A39" t="s">
        <v>124</v>
      </c>
      <c r="B39">
        <v>1</v>
      </c>
    </row>
    <row r="40" spans="1:2">
      <c r="A40" t="s">
        <v>126</v>
      </c>
      <c r="B40">
        <v>1</v>
      </c>
    </row>
    <row r="41" spans="1:2">
      <c r="A41" t="s">
        <v>128</v>
      </c>
      <c r="B41">
        <v>1</v>
      </c>
    </row>
    <row r="42" spans="1:2">
      <c r="A42" t="s">
        <v>130</v>
      </c>
      <c r="B42">
        <v>1</v>
      </c>
    </row>
    <row r="43" spans="1:2">
      <c r="A43" t="s">
        <v>132</v>
      </c>
      <c r="B43">
        <v>1</v>
      </c>
    </row>
    <row r="44" spans="1:2">
      <c r="A44" t="s">
        <v>133</v>
      </c>
      <c r="B44">
        <v>1</v>
      </c>
    </row>
    <row r="45" spans="1:2">
      <c r="A45" t="s">
        <v>135</v>
      </c>
      <c r="B45">
        <v>1</v>
      </c>
    </row>
    <row r="46" spans="1:2">
      <c r="A46" t="s">
        <v>136</v>
      </c>
      <c r="B46">
        <v>1</v>
      </c>
    </row>
    <row r="47" spans="1:2">
      <c r="A47" t="s">
        <v>138</v>
      </c>
      <c r="B47">
        <v>1</v>
      </c>
    </row>
    <row r="48" spans="1:2">
      <c r="A48" t="s">
        <v>140</v>
      </c>
      <c r="B48">
        <v>1</v>
      </c>
    </row>
    <row r="49" spans="1:2">
      <c r="A49" t="s">
        <v>142</v>
      </c>
      <c r="B49">
        <v>1</v>
      </c>
    </row>
    <row r="50" spans="1:2">
      <c r="A50" t="s">
        <v>144</v>
      </c>
      <c r="B50">
        <v>1</v>
      </c>
    </row>
    <row r="51" spans="1:2">
      <c r="A51" t="s">
        <v>146</v>
      </c>
      <c r="B51">
        <v>1</v>
      </c>
    </row>
    <row r="52" spans="1:2">
      <c r="A52" t="s">
        <v>148</v>
      </c>
      <c r="B52">
        <v>1</v>
      </c>
    </row>
    <row r="53" spans="1:2">
      <c r="A53" t="s">
        <v>150</v>
      </c>
      <c r="B53">
        <v>1</v>
      </c>
    </row>
    <row r="54" spans="1:2">
      <c r="A54" t="s">
        <v>152</v>
      </c>
      <c r="B54">
        <v>1</v>
      </c>
    </row>
    <row r="55" spans="1:2">
      <c r="A55" t="s">
        <v>154</v>
      </c>
      <c r="B55">
        <v>1</v>
      </c>
    </row>
    <row r="56" spans="1:2">
      <c r="A56" t="s">
        <v>156</v>
      </c>
      <c r="B56">
        <v>1</v>
      </c>
    </row>
    <row r="57" spans="1:2">
      <c r="A57" t="s">
        <v>157</v>
      </c>
      <c r="B57">
        <v>1</v>
      </c>
    </row>
    <row r="58" spans="1:2">
      <c r="A58" t="s">
        <v>160</v>
      </c>
      <c r="B58">
        <v>1</v>
      </c>
    </row>
    <row r="59" spans="1:2">
      <c r="A59" t="s">
        <v>161</v>
      </c>
      <c r="B59">
        <v>1</v>
      </c>
    </row>
    <row r="60" spans="1:2">
      <c r="A60" t="s">
        <v>163</v>
      </c>
      <c r="B60">
        <v>1</v>
      </c>
    </row>
    <row r="61" spans="1:2">
      <c r="A61" t="s">
        <v>164</v>
      </c>
      <c r="B61">
        <v>1</v>
      </c>
    </row>
    <row r="62" spans="1:2">
      <c r="A62" t="s">
        <v>165</v>
      </c>
      <c r="B62">
        <v>1</v>
      </c>
    </row>
    <row r="63" spans="1:2">
      <c r="A63" t="s">
        <v>166</v>
      </c>
      <c r="B63">
        <v>1</v>
      </c>
    </row>
    <row r="64" spans="1:2">
      <c r="A64" t="s">
        <v>169</v>
      </c>
      <c r="B64">
        <v>1</v>
      </c>
    </row>
    <row r="65" spans="1:2">
      <c r="A65" t="s">
        <v>171</v>
      </c>
      <c r="B65">
        <v>1</v>
      </c>
    </row>
    <row r="66" spans="1:2">
      <c r="A66" t="s">
        <v>173</v>
      </c>
      <c r="B66">
        <v>1</v>
      </c>
    </row>
    <row r="67" spans="1:2">
      <c r="A67" t="s">
        <v>175</v>
      </c>
      <c r="B67">
        <v>1</v>
      </c>
    </row>
    <row r="68" spans="1:2">
      <c r="A68" t="s">
        <v>177</v>
      </c>
      <c r="B68">
        <v>1</v>
      </c>
    </row>
    <row r="69" spans="1:2">
      <c r="A69" t="s">
        <v>179</v>
      </c>
      <c r="B69">
        <v>1</v>
      </c>
    </row>
    <row r="70" spans="1:2">
      <c r="A70" t="s">
        <v>181</v>
      </c>
      <c r="B70">
        <v>1</v>
      </c>
    </row>
    <row r="71" spans="1:2">
      <c r="A71" t="s">
        <v>183</v>
      </c>
      <c r="B71">
        <v>1</v>
      </c>
    </row>
    <row r="72" spans="1:2">
      <c r="A72" t="s">
        <v>185</v>
      </c>
      <c r="B72">
        <v>1</v>
      </c>
    </row>
    <row r="73" spans="1:2">
      <c r="A73" t="s">
        <v>187</v>
      </c>
      <c r="B73">
        <v>1</v>
      </c>
    </row>
    <row r="74" spans="1:2">
      <c r="A74" t="s">
        <v>189</v>
      </c>
      <c r="B74">
        <v>1</v>
      </c>
    </row>
    <row r="75" spans="1:2">
      <c r="A75" t="s">
        <v>191</v>
      </c>
      <c r="B75">
        <v>1</v>
      </c>
    </row>
    <row r="76" spans="1:2">
      <c r="A76" t="s">
        <v>193</v>
      </c>
      <c r="B76">
        <v>1</v>
      </c>
    </row>
    <row r="77" spans="1:2">
      <c r="A77" t="s">
        <v>194</v>
      </c>
      <c r="B77">
        <v>1</v>
      </c>
    </row>
    <row r="78" spans="1:2">
      <c r="A78" t="s">
        <v>196</v>
      </c>
      <c r="B78">
        <v>1</v>
      </c>
    </row>
    <row r="79" spans="1:2">
      <c r="A79" t="s">
        <v>198</v>
      </c>
      <c r="B79">
        <v>1</v>
      </c>
    </row>
    <row r="80" spans="1:2">
      <c r="A80" t="s">
        <v>199</v>
      </c>
      <c r="B80">
        <v>1</v>
      </c>
    </row>
    <row r="81" spans="1:2">
      <c r="A81" t="s">
        <v>200</v>
      </c>
      <c r="B81">
        <v>1</v>
      </c>
    </row>
    <row r="82" spans="1:2">
      <c r="A82" t="s">
        <v>202</v>
      </c>
      <c r="B82">
        <v>1</v>
      </c>
    </row>
    <row r="83" spans="1:2">
      <c r="A83" t="s">
        <v>204</v>
      </c>
      <c r="B83">
        <v>1</v>
      </c>
    </row>
    <row r="84" spans="1:2">
      <c r="A84" t="s">
        <v>205</v>
      </c>
      <c r="B84">
        <v>1</v>
      </c>
    </row>
    <row r="85" spans="1:2">
      <c r="A85" t="s">
        <v>207</v>
      </c>
      <c r="B85">
        <v>1</v>
      </c>
    </row>
    <row r="86" spans="1:2">
      <c r="A86" t="s">
        <v>209</v>
      </c>
      <c r="B86">
        <v>1</v>
      </c>
    </row>
    <row r="87" spans="1:2">
      <c r="A87" t="s">
        <v>211</v>
      </c>
      <c r="B87">
        <v>1</v>
      </c>
    </row>
    <row r="88" spans="1:2">
      <c r="A88" t="s">
        <v>213</v>
      </c>
      <c r="B88">
        <v>1</v>
      </c>
    </row>
    <row r="89" spans="1:2">
      <c r="A89" t="s">
        <v>215</v>
      </c>
      <c r="B89">
        <v>1</v>
      </c>
    </row>
    <row r="90" spans="1:2">
      <c r="A90" t="s">
        <v>217</v>
      </c>
      <c r="B90">
        <v>1</v>
      </c>
    </row>
    <row r="91" spans="1:2">
      <c r="A91" t="s">
        <v>218</v>
      </c>
      <c r="B91">
        <v>1</v>
      </c>
    </row>
    <row r="92" spans="1:2">
      <c r="A92" t="s">
        <v>220</v>
      </c>
      <c r="B92">
        <v>1</v>
      </c>
    </row>
    <row r="93" spans="1:2">
      <c r="A93" t="s">
        <v>222</v>
      </c>
      <c r="B93">
        <v>1</v>
      </c>
    </row>
    <row r="94" spans="1:2">
      <c r="A94" t="s">
        <v>223</v>
      </c>
      <c r="B94">
        <v>1</v>
      </c>
    </row>
    <row r="95" spans="1:2">
      <c r="A95" t="s">
        <v>224</v>
      </c>
      <c r="B95">
        <v>1</v>
      </c>
    </row>
    <row r="96" spans="1:2">
      <c r="A96" t="s">
        <v>225</v>
      </c>
      <c r="B96">
        <v>1</v>
      </c>
    </row>
    <row r="97" spans="1:2">
      <c r="A97" t="s">
        <v>227</v>
      </c>
      <c r="B97">
        <v>1</v>
      </c>
    </row>
    <row r="98" spans="1:2">
      <c r="A98" t="s">
        <v>229</v>
      </c>
      <c r="B98">
        <v>1</v>
      </c>
    </row>
    <row r="99" spans="1:2">
      <c r="A99" t="s">
        <v>231</v>
      </c>
      <c r="B99">
        <v>1</v>
      </c>
    </row>
    <row r="100" spans="1:2">
      <c r="A100" t="s">
        <v>233</v>
      </c>
      <c r="B100">
        <v>1</v>
      </c>
    </row>
    <row r="101" spans="1:2">
      <c r="A101" t="s">
        <v>234</v>
      </c>
      <c r="B101">
        <v>1</v>
      </c>
    </row>
    <row r="102" spans="1:2">
      <c r="A102" t="s">
        <v>236</v>
      </c>
      <c r="B102">
        <v>1</v>
      </c>
    </row>
    <row r="103" spans="1:2">
      <c r="A103" t="s">
        <v>238</v>
      </c>
      <c r="B103">
        <v>1</v>
      </c>
    </row>
    <row r="104" spans="1:2">
      <c r="A104" t="s">
        <v>240</v>
      </c>
      <c r="B104">
        <v>1</v>
      </c>
    </row>
    <row r="105" spans="1:2">
      <c r="A105" t="s">
        <v>242</v>
      </c>
      <c r="B105">
        <v>1</v>
      </c>
    </row>
    <row r="106" spans="1:2">
      <c r="A106" t="s">
        <v>244</v>
      </c>
      <c r="B106">
        <v>1</v>
      </c>
    </row>
    <row r="107" spans="1:2">
      <c r="A107" t="s">
        <v>245</v>
      </c>
      <c r="B107">
        <v>1</v>
      </c>
    </row>
    <row r="108" spans="1:2">
      <c r="A108" t="s">
        <v>246</v>
      </c>
      <c r="B108">
        <v>1</v>
      </c>
    </row>
    <row r="109" spans="1:2">
      <c r="A109" t="s">
        <v>248</v>
      </c>
      <c r="B109">
        <v>1</v>
      </c>
    </row>
    <row r="110" spans="1:2">
      <c r="A110" t="s">
        <v>250</v>
      </c>
      <c r="B110">
        <v>1</v>
      </c>
    </row>
    <row r="111" spans="1:2">
      <c r="A111" t="s">
        <v>251</v>
      </c>
      <c r="B111">
        <v>1</v>
      </c>
    </row>
    <row r="112" spans="1:2">
      <c r="A112" t="s">
        <v>252</v>
      </c>
      <c r="B112">
        <v>1</v>
      </c>
    </row>
    <row r="113" spans="1:2">
      <c r="A113" t="s">
        <v>254</v>
      </c>
      <c r="B113">
        <v>1</v>
      </c>
    </row>
    <row r="114" spans="1:2">
      <c r="A114" t="s">
        <v>256</v>
      </c>
      <c r="B114">
        <v>1</v>
      </c>
    </row>
    <row r="115" spans="1:2">
      <c r="A115" t="s">
        <v>258</v>
      </c>
      <c r="B115">
        <v>1</v>
      </c>
    </row>
    <row r="116" spans="1:2">
      <c r="A116" t="s">
        <v>259</v>
      </c>
      <c r="B116">
        <v>1</v>
      </c>
    </row>
    <row r="117" spans="1:2">
      <c r="A117" t="s">
        <v>261</v>
      </c>
      <c r="B117">
        <v>1</v>
      </c>
    </row>
    <row r="118" spans="1:2">
      <c r="A118" t="s">
        <v>263</v>
      </c>
      <c r="B118">
        <v>1</v>
      </c>
    </row>
    <row r="119" spans="1:2">
      <c r="A119" t="s">
        <v>265</v>
      </c>
      <c r="B119">
        <v>1</v>
      </c>
    </row>
    <row r="120" spans="1:2">
      <c r="A120" t="s">
        <v>267</v>
      </c>
      <c r="B120">
        <v>1</v>
      </c>
    </row>
    <row r="121" spans="1:2">
      <c r="A121" t="s">
        <v>268</v>
      </c>
      <c r="B121">
        <v>1</v>
      </c>
    </row>
    <row r="122" spans="1:2">
      <c r="A122" t="s">
        <v>270</v>
      </c>
      <c r="B122">
        <v>1</v>
      </c>
    </row>
    <row r="123" spans="1:2">
      <c r="A123" t="s">
        <v>271</v>
      </c>
      <c r="B123">
        <v>1</v>
      </c>
    </row>
    <row r="124" spans="1:2">
      <c r="A124" t="s">
        <v>272</v>
      </c>
      <c r="B124">
        <v>1</v>
      </c>
    </row>
    <row r="125" spans="1:2">
      <c r="A125" t="s">
        <v>273</v>
      </c>
      <c r="B125">
        <v>1</v>
      </c>
    </row>
    <row r="126" spans="1:2">
      <c r="A126" t="s">
        <v>274</v>
      </c>
      <c r="B126">
        <v>1</v>
      </c>
    </row>
    <row r="127" spans="1:2">
      <c r="A127" t="s">
        <v>275</v>
      </c>
      <c r="B127">
        <v>1</v>
      </c>
    </row>
    <row r="128" spans="1:2">
      <c r="A128" t="s">
        <v>276</v>
      </c>
      <c r="B128">
        <v>1</v>
      </c>
    </row>
    <row r="129" spans="1:2">
      <c r="A129" t="s">
        <v>278</v>
      </c>
      <c r="B129">
        <v>1</v>
      </c>
    </row>
    <row r="130" spans="1:2">
      <c r="A130" t="s">
        <v>279</v>
      </c>
      <c r="B130">
        <v>1</v>
      </c>
    </row>
    <row r="131" spans="1:2">
      <c r="A131" t="s">
        <v>280</v>
      </c>
      <c r="B131">
        <v>1</v>
      </c>
    </row>
    <row r="132" spans="1:2">
      <c r="A132" t="s">
        <v>281</v>
      </c>
      <c r="B132">
        <v>1</v>
      </c>
    </row>
    <row r="133" spans="1:2">
      <c r="A133" t="s">
        <v>283</v>
      </c>
      <c r="B133">
        <v>1</v>
      </c>
    </row>
    <row r="134" spans="1:2">
      <c r="A134" t="s">
        <v>285</v>
      </c>
      <c r="B134">
        <v>1</v>
      </c>
    </row>
    <row r="135" spans="1:2">
      <c r="A135" t="s">
        <v>287</v>
      </c>
      <c r="B135">
        <v>1</v>
      </c>
    </row>
    <row r="136" spans="1:2">
      <c r="A136" t="s">
        <v>288</v>
      </c>
      <c r="B136">
        <v>1</v>
      </c>
    </row>
    <row r="137" spans="1:2">
      <c r="A137" t="s">
        <v>289</v>
      </c>
      <c r="B137">
        <v>1</v>
      </c>
    </row>
    <row r="138" spans="1:2">
      <c r="A138" t="s">
        <v>290</v>
      </c>
      <c r="B138">
        <v>1</v>
      </c>
    </row>
    <row r="139" spans="1:2">
      <c r="A139" t="s">
        <v>291</v>
      </c>
      <c r="B139">
        <v>1</v>
      </c>
    </row>
    <row r="140" spans="1:2">
      <c r="A140" t="s">
        <v>293</v>
      </c>
      <c r="B140">
        <v>1</v>
      </c>
    </row>
    <row r="141" spans="1:2">
      <c r="A141" t="s">
        <v>295</v>
      </c>
      <c r="B141">
        <v>1</v>
      </c>
    </row>
    <row r="142" spans="1:2">
      <c r="A142" t="s">
        <v>297</v>
      </c>
      <c r="B142">
        <v>1</v>
      </c>
    </row>
    <row r="143" spans="1:2">
      <c r="A143" t="s">
        <v>298</v>
      </c>
      <c r="B143">
        <v>1</v>
      </c>
    </row>
    <row r="144" spans="1:2">
      <c r="A144" t="s">
        <v>299</v>
      </c>
      <c r="B144">
        <v>1</v>
      </c>
    </row>
    <row r="145" spans="1:2">
      <c r="A145" t="s">
        <v>301</v>
      </c>
      <c r="B145">
        <v>1</v>
      </c>
    </row>
    <row r="146" spans="1:2">
      <c r="A146" t="s">
        <v>302</v>
      </c>
      <c r="B146">
        <v>1</v>
      </c>
    </row>
    <row r="147" spans="1:2">
      <c r="A147" t="s">
        <v>304</v>
      </c>
      <c r="B147">
        <v>1</v>
      </c>
    </row>
    <row r="148" spans="1:2">
      <c r="A148" t="s">
        <v>306</v>
      </c>
      <c r="B148">
        <v>1</v>
      </c>
    </row>
    <row r="149" spans="1:2">
      <c r="A149" t="s">
        <v>307</v>
      </c>
      <c r="B149">
        <v>1</v>
      </c>
    </row>
    <row r="150" spans="1:2">
      <c r="A150" t="s">
        <v>309</v>
      </c>
      <c r="B150">
        <v>1</v>
      </c>
    </row>
    <row r="151" spans="1:2">
      <c r="A151" t="s">
        <v>310</v>
      </c>
      <c r="B151">
        <v>1</v>
      </c>
    </row>
    <row r="152" spans="1:2">
      <c r="A152" t="s">
        <v>311</v>
      </c>
      <c r="B152">
        <v>1</v>
      </c>
    </row>
    <row r="153" spans="1:2">
      <c r="A153" t="s">
        <v>313</v>
      </c>
      <c r="B153">
        <v>1</v>
      </c>
    </row>
    <row r="154" spans="1:2">
      <c r="A154" t="s">
        <v>315</v>
      </c>
      <c r="B154">
        <v>1</v>
      </c>
    </row>
    <row r="155" spans="1:2">
      <c r="A155" t="s">
        <v>317</v>
      </c>
      <c r="B155">
        <v>1</v>
      </c>
    </row>
    <row r="156" spans="1:2">
      <c r="A156" t="s">
        <v>318</v>
      </c>
      <c r="B156">
        <v>1</v>
      </c>
    </row>
    <row r="157" spans="1:2">
      <c r="A157" t="s">
        <v>320</v>
      </c>
      <c r="B157">
        <v>1</v>
      </c>
    </row>
    <row r="158" spans="1:2">
      <c r="A158" t="s">
        <v>322</v>
      </c>
      <c r="B158">
        <v>1</v>
      </c>
    </row>
    <row r="159" spans="1:2">
      <c r="A159" t="s">
        <v>323</v>
      </c>
      <c r="B159">
        <v>1</v>
      </c>
    </row>
    <row r="160" spans="1:2">
      <c r="A160" t="s">
        <v>325</v>
      </c>
      <c r="B160">
        <v>1</v>
      </c>
    </row>
    <row r="161" spans="1:2">
      <c r="A161" t="s">
        <v>326</v>
      </c>
      <c r="B161">
        <v>1</v>
      </c>
    </row>
    <row r="162" spans="1:2">
      <c r="A162" t="s">
        <v>327</v>
      </c>
      <c r="B162">
        <v>1</v>
      </c>
    </row>
    <row r="163" spans="1:2">
      <c r="A163" t="s">
        <v>329</v>
      </c>
      <c r="B163">
        <v>1</v>
      </c>
    </row>
    <row r="164" spans="1:2">
      <c r="A164" t="s">
        <v>330</v>
      </c>
      <c r="B164">
        <v>1</v>
      </c>
    </row>
    <row r="165" spans="1:2">
      <c r="A165" t="s">
        <v>332</v>
      </c>
      <c r="B165">
        <v>1</v>
      </c>
    </row>
    <row r="166" spans="1:2">
      <c r="A166" t="s">
        <v>333</v>
      </c>
      <c r="B166">
        <v>1</v>
      </c>
    </row>
    <row r="167" spans="1:2">
      <c r="A167" t="s">
        <v>334</v>
      </c>
      <c r="B167">
        <v>1</v>
      </c>
    </row>
    <row r="168" spans="1:2">
      <c r="A168" t="s">
        <v>335</v>
      </c>
      <c r="B168">
        <v>1</v>
      </c>
    </row>
    <row r="169" spans="1:2">
      <c r="A169" t="s">
        <v>337</v>
      </c>
      <c r="B169">
        <v>1</v>
      </c>
    </row>
    <row r="170" spans="1:2">
      <c r="A170" t="s">
        <v>338</v>
      </c>
      <c r="B170">
        <v>1</v>
      </c>
    </row>
    <row r="171" spans="1:2">
      <c r="A171" t="s">
        <v>339</v>
      </c>
      <c r="B171">
        <v>1</v>
      </c>
    </row>
    <row r="172" spans="1:2">
      <c r="A172" t="s">
        <v>341</v>
      </c>
      <c r="B172">
        <v>1</v>
      </c>
    </row>
    <row r="173" spans="1:2">
      <c r="A173" t="s">
        <v>343</v>
      </c>
      <c r="B173">
        <v>1</v>
      </c>
    </row>
    <row r="174" spans="1:2">
      <c r="A174" t="s">
        <v>344</v>
      </c>
      <c r="B174">
        <v>1</v>
      </c>
    </row>
    <row r="175" spans="1:2">
      <c r="A175" t="s">
        <v>345</v>
      </c>
      <c r="B175">
        <v>1</v>
      </c>
    </row>
    <row r="176" spans="1:2">
      <c r="A176" t="s">
        <v>347</v>
      </c>
      <c r="B176">
        <v>1</v>
      </c>
    </row>
    <row r="177" spans="1:2">
      <c r="A177" t="s">
        <v>348</v>
      </c>
      <c r="B177">
        <v>1</v>
      </c>
    </row>
    <row r="178" spans="1:2">
      <c r="A178" t="s">
        <v>350</v>
      </c>
      <c r="B178">
        <v>1</v>
      </c>
    </row>
    <row r="179" spans="1:2">
      <c r="A179" t="s">
        <v>351</v>
      </c>
      <c r="B179">
        <v>1</v>
      </c>
    </row>
    <row r="180" spans="1:2">
      <c r="A180" t="s">
        <v>352</v>
      </c>
      <c r="B180">
        <v>1</v>
      </c>
    </row>
    <row r="181" spans="1:2">
      <c r="A181" t="s">
        <v>353</v>
      </c>
      <c r="B181">
        <v>1</v>
      </c>
    </row>
    <row r="182" spans="1:2">
      <c r="A182" t="s">
        <v>354</v>
      </c>
      <c r="B182">
        <v>1</v>
      </c>
    </row>
    <row r="183" spans="1:2">
      <c r="A183" t="s">
        <v>355</v>
      </c>
      <c r="B183">
        <v>1</v>
      </c>
    </row>
    <row r="184" spans="1:2">
      <c r="A184" t="s">
        <v>356</v>
      </c>
      <c r="B184">
        <v>1</v>
      </c>
    </row>
    <row r="185" spans="1:2">
      <c r="A185" t="s">
        <v>357</v>
      </c>
      <c r="B185">
        <v>1</v>
      </c>
    </row>
    <row r="186" spans="1:2">
      <c r="A186" t="s">
        <v>359</v>
      </c>
      <c r="B186">
        <v>1</v>
      </c>
    </row>
    <row r="187" spans="1:2">
      <c r="A187" t="s">
        <v>360</v>
      </c>
      <c r="B187">
        <v>1</v>
      </c>
    </row>
    <row r="188" spans="1:2">
      <c r="A188" t="s">
        <v>362</v>
      </c>
      <c r="B188">
        <v>1</v>
      </c>
    </row>
    <row r="189" spans="1:2">
      <c r="A189" t="s">
        <v>363</v>
      </c>
      <c r="B189">
        <v>1</v>
      </c>
    </row>
    <row r="190" spans="1:2">
      <c r="A190" t="s">
        <v>365</v>
      </c>
      <c r="B190">
        <v>1</v>
      </c>
    </row>
    <row r="191" spans="1:2">
      <c r="A191" t="s">
        <v>366</v>
      </c>
      <c r="B191">
        <v>1</v>
      </c>
    </row>
    <row r="192" spans="1:2">
      <c r="A192" t="s">
        <v>367</v>
      </c>
      <c r="B192">
        <v>1</v>
      </c>
    </row>
    <row r="193" spans="1:2">
      <c r="A193" t="s">
        <v>369</v>
      </c>
      <c r="B193">
        <v>1</v>
      </c>
    </row>
    <row r="194" spans="1:2">
      <c r="A194" t="s">
        <v>371</v>
      </c>
      <c r="B194">
        <v>1</v>
      </c>
    </row>
    <row r="195" spans="1:2">
      <c r="A195" t="s">
        <v>373</v>
      </c>
      <c r="B195">
        <v>1</v>
      </c>
    </row>
    <row r="196" spans="1:2">
      <c r="A196" t="s">
        <v>374</v>
      </c>
      <c r="B196">
        <v>1</v>
      </c>
    </row>
    <row r="197" spans="1:2">
      <c r="A197" t="s">
        <v>375</v>
      </c>
      <c r="B197">
        <v>1</v>
      </c>
    </row>
    <row r="198" spans="1:2">
      <c r="A198" t="s">
        <v>376</v>
      </c>
      <c r="B198">
        <v>1</v>
      </c>
    </row>
    <row r="199" spans="1:2">
      <c r="A199" t="s">
        <v>377</v>
      </c>
      <c r="B199">
        <v>1</v>
      </c>
    </row>
    <row r="200" spans="1:2">
      <c r="A200" t="s">
        <v>379</v>
      </c>
      <c r="B200">
        <v>1</v>
      </c>
    </row>
    <row r="201" spans="1:2">
      <c r="A201" t="s">
        <v>381</v>
      </c>
      <c r="B201">
        <v>1</v>
      </c>
    </row>
    <row r="202" spans="1:2">
      <c r="A202" t="s">
        <v>382</v>
      </c>
      <c r="B202">
        <v>1</v>
      </c>
    </row>
    <row r="203" spans="1:2">
      <c r="A203" t="s">
        <v>383</v>
      </c>
      <c r="B203">
        <v>1</v>
      </c>
    </row>
    <row r="204" spans="1:2">
      <c r="A204" t="s">
        <v>384</v>
      </c>
      <c r="B204">
        <v>1</v>
      </c>
    </row>
    <row r="205" spans="1:2">
      <c r="A205" t="s">
        <v>386</v>
      </c>
      <c r="B205">
        <v>1</v>
      </c>
    </row>
    <row r="206" spans="1:2">
      <c r="A206" t="s">
        <v>387</v>
      </c>
      <c r="B206">
        <v>1</v>
      </c>
    </row>
    <row r="207" spans="1:2">
      <c r="A207" t="s">
        <v>388</v>
      </c>
      <c r="B207">
        <v>1</v>
      </c>
    </row>
    <row r="208" spans="1:2">
      <c r="A208" t="s">
        <v>389</v>
      </c>
      <c r="B208">
        <v>1</v>
      </c>
    </row>
    <row r="209" spans="1:2">
      <c r="A209" t="s">
        <v>391</v>
      </c>
      <c r="B209">
        <v>1</v>
      </c>
    </row>
    <row r="210" spans="1:2">
      <c r="A210" t="s">
        <v>393</v>
      </c>
      <c r="B210">
        <v>1</v>
      </c>
    </row>
    <row r="211" spans="1:2">
      <c r="A211" t="s">
        <v>394</v>
      </c>
      <c r="B211">
        <v>1</v>
      </c>
    </row>
    <row r="212" spans="1:2">
      <c r="A212" t="s">
        <v>396</v>
      </c>
      <c r="B212">
        <v>1</v>
      </c>
    </row>
    <row r="213" spans="1:2">
      <c r="A213" t="s">
        <v>397</v>
      </c>
      <c r="B213">
        <v>1</v>
      </c>
    </row>
    <row r="214" spans="1:2">
      <c r="A214" t="s">
        <v>398</v>
      </c>
      <c r="B214">
        <v>1</v>
      </c>
    </row>
    <row r="215" spans="1:2">
      <c r="A215" t="s">
        <v>399</v>
      </c>
      <c r="B215">
        <v>1</v>
      </c>
    </row>
    <row r="216" spans="1:2">
      <c r="A216" t="s">
        <v>400</v>
      </c>
      <c r="B216">
        <v>1</v>
      </c>
    </row>
    <row r="217" spans="1:2">
      <c r="A217" t="s">
        <v>401</v>
      </c>
      <c r="B217">
        <v>1</v>
      </c>
    </row>
    <row r="218" spans="1:2">
      <c r="A218" t="s">
        <v>402</v>
      </c>
      <c r="B218">
        <v>1</v>
      </c>
    </row>
    <row r="219" spans="1:2">
      <c r="A219" t="s">
        <v>403</v>
      </c>
      <c r="B219">
        <v>1</v>
      </c>
    </row>
    <row r="220" spans="1:2">
      <c r="A220" t="s">
        <v>404</v>
      </c>
      <c r="B220">
        <v>1</v>
      </c>
    </row>
    <row r="221" spans="1:2">
      <c r="A221" t="s">
        <v>405</v>
      </c>
      <c r="B221">
        <v>1</v>
      </c>
    </row>
    <row r="222" spans="1:2">
      <c r="A222" t="s">
        <v>407</v>
      </c>
      <c r="B222">
        <v>1</v>
      </c>
    </row>
    <row r="223" spans="1:2">
      <c r="A223" t="s">
        <v>409</v>
      </c>
      <c r="B223">
        <v>1</v>
      </c>
    </row>
    <row r="224" spans="1:2">
      <c r="A224" t="s">
        <v>411</v>
      </c>
      <c r="B224">
        <v>1</v>
      </c>
    </row>
    <row r="225" spans="1:2">
      <c r="A225" t="s">
        <v>412</v>
      </c>
      <c r="B225">
        <v>1</v>
      </c>
    </row>
    <row r="226" spans="1:2">
      <c r="A226" t="s">
        <v>413</v>
      </c>
      <c r="B226">
        <v>1</v>
      </c>
    </row>
    <row r="227" spans="1:2">
      <c r="A227" t="s">
        <v>415</v>
      </c>
      <c r="B227">
        <v>1</v>
      </c>
    </row>
    <row r="228" spans="1:2">
      <c r="A228" t="s">
        <v>416</v>
      </c>
      <c r="B228">
        <v>1</v>
      </c>
    </row>
    <row r="229" spans="1:2">
      <c r="A229" t="s">
        <v>417</v>
      </c>
      <c r="B229">
        <v>1</v>
      </c>
    </row>
    <row r="230" spans="1:2">
      <c r="A230" t="s">
        <v>418</v>
      </c>
      <c r="B230">
        <v>1</v>
      </c>
    </row>
    <row r="231" spans="1:2">
      <c r="A231" t="s">
        <v>419</v>
      </c>
      <c r="B231">
        <v>1</v>
      </c>
    </row>
    <row r="232" spans="1:2">
      <c r="A232" t="s">
        <v>421</v>
      </c>
      <c r="B232">
        <v>1</v>
      </c>
    </row>
    <row r="233" spans="1:2">
      <c r="A233" t="s">
        <v>422</v>
      </c>
      <c r="B233">
        <v>1</v>
      </c>
    </row>
    <row r="234" spans="1:2">
      <c r="A234" t="s">
        <v>423</v>
      </c>
      <c r="B234">
        <v>1</v>
      </c>
    </row>
    <row r="235" spans="1:2">
      <c r="A235" t="s">
        <v>425</v>
      </c>
      <c r="B235">
        <v>1</v>
      </c>
    </row>
    <row r="236" spans="1:2">
      <c r="A236" t="s">
        <v>426</v>
      </c>
      <c r="B236">
        <v>1</v>
      </c>
    </row>
    <row r="237" spans="1:2">
      <c r="A237" t="s">
        <v>428</v>
      </c>
      <c r="B237">
        <v>1</v>
      </c>
    </row>
    <row r="238" spans="1:2">
      <c r="A238" t="s">
        <v>429</v>
      </c>
      <c r="B238">
        <v>1</v>
      </c>
    </row>
    <row r="239" spans="1:2">
      <c r="A239" t="s">
        <v>431</v>
      </c>
      <c r="B239">
        <v>1</v>
      </c>
    </row>
    <row r="240" spans="1:2">
      <c r="A240" t="s">
        <v>432</v>
      </c>
      <c r="B240">
        <v>1</v>
      </c>
    </row>
    <row r="241" spans="1:2">
      <c r="A241" t="s">
        <v>433</v>
      </c>
      <c r="B241">
        <v>1</v>
      </c>
    </row>
    <row r="242" spans="1:2">
      <c r="A242" t="s">
        <v>434</v>
      </c>
      <c r="B242">
        <v>1</v>
      </c>
    </row>
    <row r="243" spans="1:2">
      <c r="A243" t="s">
        <v>435</v>
      </c>
      <c r="B243">
        <v>1</v>
      </c>
    </row>
    <row r="244" spans="1:2">
      <c r="A244" t="s">
        <v>436</v>
      </c>
      <c r="B244">
        <v>1</v>
      </c>
    </row>
    <row r="245" spans="1:2">
      <c r="A245" t="s">
        <v>438</v>
      </c>
      <c r="B245">
        <v>1</v>
      </c>
    </row>
    <row r="246" spans="1:2">
      <c r="A246" t="s">
        <v>439</v>
      </c>
      <c r="B246">
        <v>1</v>
      </c>
    </row>
    <row r="247" spans="1:2">
      <c r="A247" t="s">
        <v>440</v>
      </c>
      <c r="B247">
        <v>1</v>
      </c>
    </row>
    <row r="248" spans="1:2">
      <c r="A248" t="s">
        <v>441</v>
      </c>
      <c r="B248">
        <v>1</v>
      </c>
    </row>
    <row r="249" spans="1:2">
      <c r="A249" t="s">
        <v>442</v>
      </c>
      <c r="B249">
        <v>1</v>
      </c>
    </row>
    <row r="250" spans="1:2">
      <c r="A250" t="s">
        <v>444</v>
      </c>
      <c r="B250">
        <v>1</v>
      </c>
    </row>
    <row r="251" spans="1:2">
      <c r="A251" t="s">
        <v>445</v>
      </c>
      <c r="B251">
        <v>1</v>
      </c>
    </row>
    <row r="252" spans="1:2">
      <c r="A252" t="s">
        <v>446</v>
      </c>
      <c r="B252">
        <v>1</v>
      </c>
    </row>
    <row r="253" spans="1:2">
      <c r="A253" t="s">
        <v>447</v>
      </c>
      <c r="B253">
        <v>1</v>
      </c>
    </row>
    <row r="254" spans="1:2">
      <c r="A254" t="s">
        <v>448</v>
      </c>
      <c r="B254">
        <v>1</v>
      </c>
    </row>
    <row r="255" spans="1:2">
      <c r="A255" t="s">
        <v>450</v>
      </c>
      <c r="B255">
        <v>1</v>
      </c>
    </row>
    <row r="256" spans="1:2">
      <c r="A256" t="s">
        <v>451</v>
      </c>
      <c r="B256">
        <v>1</v>
      </c>
    </row>
    <row r="257" spans="1:2">
      <c r="A257" t="s">
        <v>452</v>
      </c>
      <c r="B257">
        <v>1</v>
      </c>
    </row>
    <row r="258" spans="1:2">
      <c r="A258" t="s">
        <v>453</v>
      </c>
      <c r="B258">
        <v>1</v>
      </c>
    </row>
    <row r="259" spans="1:2">
      <c r="A259" t="s">
        <v>454</v>
      </c>
      <c r="B259">
        <v>1</v>
      </c>
    </row>
    <row r="260" spans="1:2">
      <c r="A260" t="s">
        <v>456</v>
      </c>
      <c r="B260">
        <v>1</v>
      </c>
    </row>
    <row r="261" spans="1:2">
      <c r="A261" t="s">
        <v>458</v>
      </c>
      <c r="B261">
        <v>1</v>
      </c>
    </row>
    <row r="262" spans="1:2">
      <c r="A262" t="s">
        <v>459</v>
      </c>
      <c r="B262">
        <v>1</v>
      </c>
    </row>
    <row r="263" spans="1:2">
      <c r="A263" t="s">
        <v>460</v>
      </c>
      <c r="B263">
        <v>1</v>
      </c>
    </row>
    <row r="264" spans="1:2">
      <c r="A264" t="s">
        <v>461</v>
      </c>
      <c r="B264">
        <v>1</v>
      </c>
    </row>
    <row r="265" spans="1:2">
      <c r="A265" t="s">
        <v>463</v>
      </c>
      <c r="B265">
        <v>1</v>
      </c>
    </row>
    <row r="266" spans="1:2">
      <c r="A266" t="s">
        <v>465</v>
      </c>
      <c r="B266">
        <v>1</v>
      </c>
    </row>
    <row r="267" spans="1:2">
      <c r="A267" t="s">
        <v>466</v>
      </c>
      <c r="B267">
        <v>1</v>
      </c>
    </row>
    <row r="268" spans="1:2">
      <c r="A268" t="s">
        <v>467</v>
      </c>
      <c r="B268">
        <v>1</v>
      </c>
    </row>
    <row r="269" spans="1:2">
      <c r="A269" t="s">
        <v>469</v>
      </c>
      <c r="B269">
        <v>1</v>
      </c>
    </row>
    <row r="270" spans="1:2">
      <c r="A270" t="s">
        <v>470</v>
      </c>
      <c r="B270">
        <v>1</v>
      </c>
    </row>
    <row r="271" spans="1:2">
      <c r="A271" t="s">
        <v>471</v>
      </c>
      <c r="B271">
        <v>1</v>
      </c>
    </row>
    <row r="272" spans="1:2">
      <c r="A272" t="s">
        <v>473</v>
      </c>
      <c r="B272">
        <v>1</v>
      </c>
    </row>
    <row r="273" spans="1:2">
      <c r="A273" t="s">
        <v>474</v>
      </c>
      <c r="B273">
        <v>1</v>
      </c>
    </row>
    <row r="274" spans="1:2">
      <c r="A274" t="s">
        <v>475</v>
      </c>
      <c r="B274">
        <v>1</v>
      </c>
    </row>
    <row r="275" spans="1:2">
      <c r="A275" t="s">
        <v>476</v>
      </c>
      <c r="B275">
        <v>1</v>
      </c>
    </row>
    <row r="276" spans="1:2">
      <c r="A276" t="s">
        <v>478</v>
      </c>
      <c r="B276">
        <v>1</v>
      </c>
    </row>
    <row r="277" spans="1:2">
      <c r="A277" t="s">
        <v>479</v>
      </c>
      <c r="B277">
        <v>1</v>
      </c>
    </row>
    <row r="278" spans="1:2">
      <c r="A278" t="s">
        <v>480</v>
      </c>
      <c r="B278">
        <v>1</v>
      </c>
    </row>
    <row r="279" spans="1:2">
      <c r="A279" t="s">
        <v>481</v>
      </c>
      <c r="B279">
        <v>1</v>
      </c>
    </row>
    <row r="280" spans="1:2">
      <c r="A280" t="s">
        <v>482</v>
      </c>
      <c r="B280">
        <v>1</v>
      </c>
    </row>
    <row r="281" spans="1:2">
      <c r="A281" t="s">
        <v>483</v>
      </c>
      <c r="B281">
        <v>1</v>
      </c>
    </row>
    <row r="282" spans="1:2">
      <c r="A282" t="s">
        <v>485</v>
      </c>
      <c r="B282">
        <v>1</v>
      </c>
    </row>
    <row r="283" spans="1:2">
      <c r="A283" t="s">
        <v>487</v>
      </c>
      <c r="B283">
        <v>1</v>
      </c>
    </row>
    <row r="284" spans="1:2">
      <c r="A284" t="s">
        <v>489</v>
      </c>
      <c r="B284">
        <v>1</v>
      </c>
    </row>
    <row r="285" spans="1:2">
      <c r="A285" t="s">
        <v>490</v>
      </c>
      <c r="B285">
        <v>1</v>
      </c>
    </row>
    <row r="286" spans="1:2">
      <c r="A286" t="s">
        <v>491</v>
      </c>
      <c r="B286">
        <v>1</v>
      </c>
    </row>
    <row r="287" spans="1:2">
      <c r="A287" t="s">
        <v>492</v>
      </c>
      <c r="B287">
        <v>1</v>
      </c>
    </row>
    <row r="288" spans="1:2">
      <c r="A288" t="s">
        <v>493</v>
      </c>
      <c r="B288">
        <v>1</v>
      </c>
    </row>
    <row r="289" spans="1:2">
      <c r="A289" t="s">
        <v>495</v>
      </c>
      <c r="B289">
        <v>1</v>
      </c>
    </row>
    <row r="290" spans="1:2">
      <c r="A290" t="s">
        <v>496</v>
      </c>
      <c r="B290">
        <v>1</v>
      </c>
    </row>
    <row r="291" spans="1:2">
      <c r="A291" t="s">
        <v>498</v>
      </c>
      <c r="B291">
        <v>1</v>
      </c>
    </row>
    <row r="292" spans="1:2">
      <c r="A292" t="s">
        <v>500</v>
      </c>
      <c r="B292">
        <v>1</v>
      </c>
    </row>
    <row r="293" spans="1:2">
      <c r="A293" t="s">
        <v>501</v>
      </c>
      <c r="B293">
        <v>1</v>
      </c>
    </row>
    <row r="294" spans="1:2">
      <c r="A294" t="s">
        <v>503</v>
      </c>
      <c r="B294">
        <v>1</v>
      </c>
    </row>
    <row r="295" spans="1:2">
      <c r="A295" t="s">
        <v>504</v>
      </c>
      <c r="B295">
        <v>1</v>
      </c>
    </row>
    <row r="296" spans="1:2">
      <c r="A296" t="s">
        <v>506</v>
      </c>
      <c r="B296">
        <v>1</v>
      </c>
    </row>
    <row r="297" spans="1:2">
      <c r="A297" t="s">
        <v>507</v>
      </c>
      <c r="B297">
        <v>1</v>
      </c>
    </row>
    <row r="298" spans="1:2">
      <c r="A298" t="s">
        <v>508</v>
      </c>
      <c r="B298">
        <v>1</v>
      </c>
    </row>
    <row r="299" spans="1:2">
      <c r="A299" t="s">
        <v>509</v>
      </c>
      <c r="B299">
        <v>1</v>
      </c>
    </row>
    <row r="300" spans="1:2">
      <c r="A300" t="s">
        <v>510</v>
      </c>
      <c r="B300">
        <v>1</v>
      </c>
    </row>
    <row r="301" spans="1:2">
      <c r="A301" t="s">
        <v>512</v>
      </c>
      <c r="B301">
        <v>1</v>
      </c>
    </row>
    <row r="302" spans="1:2">
      <c r="A302" t="s">
        <v>513</v>
      </c>
      <c r="B302">
        <v>1</v>
      </c>
    </row>
    <row r="303" spans="1:2">
      <c r="A303" t="s">
        <v>514</v>
      </c>
      <c r="B303">
        <v>1</v>
      </c>
    </row>
    <row r="304" spans="1:2">
      <c r="A304" t="s">
        <v>515</v>
      </c>
      <c r="B304">
        <v>1</v>
      </c>
    </row>
    <row r="305" spans="1:2">
      <c r="A305" t="s">
        <v>516</v>
      </c>
      <c r="B305">
        <v>1</v>
      </c>
    </row>
    <row r="306" spans="1:2">
      <c r="A306" t="s">
        <v>518</v>
      </c>
      <c r="B306">
        <v>1</v>
      </c>
    </row>
    <row r="307" spans="1:2">
      <c r="A307" t="s">
        <v>519</v>
      </c>
      <c r="B307">
        <v>1</v>
      </c>
    </row>
    <row r="308" spans="1:2">
      <c r="A308" t="s">
        <v>520</v>
      </c>
      <c r="B308">
        <v>1</v>
      </c>
    </row>
    <row r="309" spans="1:2">
      <c r="A309" t="s">
        <v>521</v>
      </c>
      <c r="B309">
        <v>1</v>
      </c>
    </row>
    <row r="310" spans="1:2">
      <c r="A310" t="s">
        <v>522</v>
      </c>
      <c r="B310">
        <v>1</v>
      </c>
    </row>
    <row r="311" spans="1:2">
      <c r="A311" t="s">
        <v>523</v>
      </c>
      <c r="B311">
        <v>1</v>
      </c>
    </row>
    <row r="312" spans="1:2">
      <c r="A312" t="s">
        <v>524</v>
      </c>
      <c r="B312">
        <v>1</v>
      </c>
    </row>
    <row r="313" spans="1:2">
      <c r="A313" t="s">
        <v>525</v>
      </c>
      <c r="B313">
        <v>1</v>
      </c>
    </row>
    <row r="314" spans="1:2">
      <c r="A314" t="s">
        <v>527</v>
      </c>
      <c r="B314">
        <v>1</v>
      </c>
    </row>
    <row r="315" spans="1:2">
      <c r="A315" t="s">
        <v>529</v>
      </c>
      <c r="B315">
        <v>1</v>
      </c>
    </row>
    <row r="316" spans="1:2">
      <c r="A316" t="s">
        <v>531</v>
      </c>
      <c r="B316">
        <v>1</v>
      </c>
    </row>
    <row r="317" spans="1:2">
      <c r="A317" t="s">
        <v>532</v>
      </c>
      <c r="B317">
        <v>1</v>
      </c>
    </row>
    <row r="318" spans="1:2">
      <c r="A318" t="s">
        <v>533</v>
      </c>
      <c r="B318">
        <v>1</v>
      </c>
    </row>
    <row r="319" spans="1:2">
      <c r="A319" t="s">
        <v>534</v>
      </c>
      <c r="B319">
        <v>1</v>
      </c>
    </row>
    <row r="320" spans="1:2">
      <c r="A320" t="s">
        <v>535</v>
      </c>
      <c r="B320">
        <v>1</v>
      </c>
    </row>
    <row r="321" spans="1:2">
      <c r="A321" t="s">
        <v>536</v>
      </c>
      <c r="B321">
        <v>1</v>
      </c>
    </row>
    <row r="322" spans="1:2">
      <c r="A322" t="s">
        <v>537</v>
      </c>
      <c r="B322">
        <v>1</v>
      </c>
    </row>
    <row r="323" spans="1:2">
      <c r="A323" t="s">
        <v>538</v>
      </c>
      <c r="B323">
        <v>1</v>
      </c>
    </row>
    <row r="324" spans="1:2">
      <c r="A324" t="s">
        <v>539</v>
      </c>
      <c r="B324">
        <v>1</v>
      </c>
    </row>
    <row r="325" spans="1:2">
      <c r="A325" t="s">
        <v>540</v>
      </c>
      <c r="B325">
        <v>1</v>
      </c>
    </row>
    <row r="326" spans="1:2">
      <c r="A326" t="s">
        <v>541</v>
      </c>
      <c r="B326">
        <v>1</v>
      </c>
    </row>
    <row r="327" spans="1:2">
      <c r="A327" t="s">
        <v>543</v>
      </c>
      <c r="B327">
        <v>1</v>
      </c>
    </row>
    <row r="328" spans="1:2">
      <c r="A328" t="s">
        <v>544</v>
      </c>
      <c r="B328">
        <v>1</v>
      </c>
    </row>
    <row r="329" spans="1:2">
      <c r="A329" t="s">
        <v>545</v>
      </c>
      <c r="B329">
        <v>1</v>
      </c>
    </row>
    <row r="330" spans="1:2">
      <c r="A330" t="s">
        <v>546</v>
      </c>
      <c r="B330">
        <v>1</v>
      </c>
    </row>
    <row r="331" spans="1:2">
      <c r="A331" t="s">
        <v>547</v>
      </c>
      <c r="B331">
        <v>1</v>
      </c>
    </row>
    <row r="332" spans="1:2">
      <c r="A332" t="s">
        <v>548</v>
      </c>
      <c r="B332">
        <v>1</v>
      </c>
    </row>
    <row r="333" spans="1:2">
      <c r="A333" t="s">
        <v>549</v>
      </c>
      <c r="B333">
        <v>1</v>
      </c>
    </row>
    <row r="334" spans="1:2">
      <c r="A334" t="s">
        <v>550</v>
      </c>
      <c r="B334">
        <v>1</v>
      </c>
    </row>
    <row r="335" spans="1:2">
      <c r="A335" t="s">
        <v>551</v>
      </c>
      <c r="B335">
        <v>1</v>
      </c>
    </row>
    <row r="336" spans="1:2">
      <c r="A336" t="s">
        <v>552</v>
      </c>
      <c r="B336">
        <v>1</v>
      </c>
    </row>
    <row r="337" spans="1:2">
      <c r="A337" t="s">
        <v>553</v>
      </c>
      <c r="B337">
        <v>1</v>
      </c>
    </row>
    <row r="338" spans="1:2">
      <c r="A338" t="s">
        <v>555</v>
      </c>
      <c r="B338">
        <v>1</v>
      </c>
    </row>
    <row r="339" spans="1:2">
      <c r="A339" t="s">
        <v>556</v>
      </c>
      <c r="B339">
        <v>1</v>
      </c>
    </row>
    <row r="340" spans="1:2">
      <c r="A340" t="s">
        <v>557</v>
      </c>
      <c r="B340">
        <v>1</v>
      </c>
    </row>
    <row r="341" spans="1:2">
      <c r="A341" t="s">
        <v>558</v>
      </c>
      <c r="B341">
        <v>1</v>
      </c>
    </row>
    <row r="342" spans="1:2">
      <c r="A342" t="s">
        <v>559</v>
      </c>
      <c r="B342">
        <v>1</v>
      </c>
    </row>
    <row r="343" spans="1:2">
      <c r="A343" t="s">
        <v>560</v>
      </c>
      <c r="B343">
        <v>1</v>
      </c>
    </row>
    <row r="344" spans="1:2">
      <c r="A344" t="s">
        <v>561</v>
      </c>
      <c r="B344">
        <v>1</v>
      </c>
    </row>
    <row r="345" spans="1:2">
      <c r="A345" t="s">
        <v>562</v>
      </c>
      <c r="B345">
        <v>1</v>
      </c>
    </row>
    <row r="346" spans="1:2">
      <c r="A346" t="s">
        <v>563</v>
      </c>
      <c r="B346">
        <v>1</v>
      </c>
    </row>
    <row r="347" spans="1:2">
      <c r="A347" t="s">
        <v>564</v>
      </c>
      <c r="B347">
        <v>1</v>
      </c>
    </row>
    <row r="348" spans="1:2">
      <c r="A348" t="s">
        <v>565</v>
      </c>
      <c r="B348">
        <v>1</v>
      </c>
    </row>
    <row r="349" spans="1:2">
      <c r="A349" t="s">
        <v>566</v>
      </c>
      <c r="B349">
        <v>1</v>
      </c>
    </row>
    <row r="350" spans="1:2">
      <c r="A350" t="s">
        <v>567</v>
      </c>
      <c r="B350">
        <v>1</v>
      </c>
    </row>
    <row r="351" spans="1:2">
      <c r="A351" t="s">
        <v>569</v>
      </c>
      <c r="B351">
        <v>1</v>
      </c>
    </row>
    <row r="352" spans="1:2">
      <c r="A352" t="s">
        <v>570</v>
      </c>
      <c r="B352">
        <v>1</v>
      </c>
    </row>
    <row r="353" spans="1:2">
      <c r="A353" t="s">
        <v>571</v>
      </c>
      <c r="B353">
        <v>1</v>
      </c>
    </row>
    <row r="354" spans="1:2">
      <c r="A354" t="s">
        <v>572</v>
      </c>
      <c r="B354">
        <v>1</v>
      </c>
    </row>
    <row r="355" spans="1:2">
      <c r="A355" t="s">
        <v>573</v>
      </c>
      <c r="B355">
        <v>1</v>
      </c>
    </row>
    <row r="356" spans="1:2">
      <c r="A356" t="s">
        <v>574</v>
      </c>
      <c r="B356">
        <v>1</v>
      </c>
    </row>
    <row r="357" spans="1:2">
      <c r="A357" t="s">
        <v>575</v>
      </c>
      <c r="B357">
        <v>1</v>
      </c>
    </row>
    <row r="358" spans="1:2">
      <c r="A358" t="s">
        <v>576</v>
      </c>
      <c r="B358">
        <v>1</v>
      </c>
    </row>
    <row r="359" spans="1:2">
      <c r="A359" t="s">
        <v>577</v>
      </c>
      <c r="B359">
        <v>1</v>
      </c>
    </row>
    <row r="360" spans="1:2">
      <c r="A360" t="s">
        <v>578</v>
      </c>
      <c r="B360">
        <v>1</v>
      </c>
    </row>
    <row r="361" spans="1:2">
      <c r="A361" t="s">
        <v>580</v>
      </c>
      <c r="B361">
        <v>1</v>
      </c>
    </row>
    <row r="362" spans="1:2">
      <c r="A362" t="s">
        <v>581</v>
      </c>
      <c r="B362">
        <v>1</v>
      </c>
    </row>
    <row r="363" spans="1:2">
      <c r="A363" t="s">
        <v>582</v>
      </c>
      <c r="B363">
        <v>1</v>
      </c>
    </row>
    <row r="364" spans="1:2">
      <c r="A364" t="s">
        <v>583</v>
      </c>
      <c r="B364">
        <v>1</v>
      </c>
    </row>
    <row r="365" spans="1:2">
      <c r="A365" t="s">
        <v>585</v>
      </c>
      <c r="B365">
        <v>1</v>
      </c>
    </row>
    <row r="366" spans="1:2">
      <c r="A366" t="s">
        <v>586</v>
      </c>
      <c r="B366">
        <v>1</v>
      </c>
    </row>
    <row r="367" spans="1:2">
      <c r="A367" t="s">
        <v>587</v>
      </c>
      <c r="B367">
        <v>1</v>
      </c>
    </row>
    <row r="368" spans="1:2">
      <c r="A368" t="s">
        <v>588</v>
      </c>
      <c r="B368">
        <v>1</v>
      </c>
    </row>
    <row r="369" spans="1:2">
      <c r="A369" t="s">
        <v>589</v>
      </c>
      <c r="B369">
        <v>1</v>
      </c>
    </row>
    <row r="370" spans="1:2">
      <c r="A370" t="s">
        <v>591</v>
      </c>
      <c r="B370">
        <v>1</v>
      </c>
    </row>
    <row r="371" spans="1:2">
      <c r="A371" t="s">
        <v>592</v>
      </c>
      <c r="B371">
        <v>1</v>
      </c>
    </row>
    <row r="372" spans="1:2">
      <c r="A372" t="s">
        <v>593</v>
      </c>
      <c r="B372">
        <v>1</v>
      </c>
    </row>
    <row r="373" spans="1:2">
      <c r="A373" t="s">
        <v>595</v>
      </c>
      <c r="B373">
        <v>1</v>
      </c>
    </row>
    <row r="374" spans="1:2">
      <c r="A374" t="s">
        <v>597</v>
      </c>
      <c r="B374">
        <v>1</v>
      </c>
    </row>
    <row r="375" spans="1:2">
      <c r="A375" t="s">
        <v>598</v>
      </c>
      <c r="B375">
        <v>1</v>
      </c>
    </row>
    <row r="376" spans="1:2">
      <c r="A376" t="s">
        <v>599</v>
      </c>
      <c r="B376">
        <v>1</v>
      </c>
    </row>
    <row r="377" spans="1:2">
      <c r="A377" t="s">
        <v>600</v>
      </c>
      <c r="B377">
        <v>1</v>
      </c>
    </row>
    <row r="378" spans="1:2">
      <c r="A378" t="s">
        <v>602</v>
      </c>
      <c r="B378">
        <v>1</v>
      </c>
    </row>
    <row r="379" spans="1:2">
      <c r="A379" t="s">
        <v>603</v>
      </c>
      <c r="B379">
        <v>1</v>
      </c>
    </row>
    <row r="380" spans="1:2">
      <c r="A380" t="s">
        <v>604</v>
      </c>
      <c r="B380">
        <v>1</v>
      </c>
    </row>
    <row r="381" spans="1:2">
      <c r="A381" t="s">
        <v>606</v>
      </c>
      <c r="B381">
        <v>1</v>
      </c>
    </row>
    <row r="382" spans="1:2">
      <c r="A382" t="s">
        <v>607</v>
      </c>
      <c r="B382">
        <v>1</v>
      </c>
    </row>
    <row r="383" spans="1:2">
      <c r="A383" t="s">
        <v>608</v>
      </c>
      <c r="B383">
        <v>1</v>
      </c>
    </row>
    <row r="384" spans="1:2">
      <c r="A384" t="s">
        <v>610</v>
      </c>
      <c r="B384">
        <v>1</v>
      </c>
    </row>
    <row r="385" spans="1:2">
      <c r="A385" t="s">
        <v>611</v>
      </c>
      <c r="B385">
        <v>1</v>
      </c>
    </row>
    <row r="386" spans="1:2">
      <c r="A386" t="s">
        <v>612</v>
      </c>
      <c r="B386">
        <v>1</v>
      </c>
    </row>
    <row r="387" spans="1:2">
      <c r="A387" t="s">
        <v>613</v>
      </c>
      <c r="B387">
        <v>1</v>
      </c>
    </row>
    <row r="388" spans="1:2">
      <c r="A388" t="s">
        <v>614</v>
      </c>
      <c r="B388">
        <v>1</v>
      </c>
    </row>
    <row r="389" spans="1:2">
      <c r="A389" t="s">
        <v>615</v>
      </c>
      <c r="B389">
        <v>1</v>
      </c>
    </row>
    <row r="390" spans="1:2">
      <c r="A390" t="s">
        <v>616</v>
      </c>
      <c r="B390">
        <v>1</v>
      </c>
    </row>
    <row r="391" spans="1:2">
      <c r="A391" t="s">
        <v>618</v>
      </c>
      <c r="B391">
        <v>1</v>
      </c>
    </row>
    <row r="392" spans="1:2">
      <c r="A392" t="s">
        <v>619</v>
      </c>
      <c r="B392">
        <v>1</v>
      </c>
    </row>
    <row r="393" spans="1:2">
      <c r="A393" t="s">
        <v>620</v>
      </c>
      <c r="B393">
        <v>1</v>
      </c>
    </row>
    <row r="394" spans="1:2">
      <c r="A394" t="s">
        <v>622</v>
      </c>
      <c r="B394">
        <v>1</v>
      </c>
    </row>
    <row r="395" spans="1:2">
      <c r="A395" t="s">
        <v>623</v>
      </c>
      <c r="B395">
        <v>1</v>
      </c>
    </row>
    <row r="396" spans="1:2">
      <c r="A396" t="s">
        <v>624</v>
      </c>
      <c r="B396">
        <v>1</v>
      </c>
    </row>
    <row r="397" spans="1:2">
      <c r="A397" t="s">
        <v>625</v>
      </c>
      <c r="B397">
        <v>1</v>
      </c>
    </row>
    <row r="398" spans="1:2">
      <c r="A398" t="s">
        <v>626</v>
      </c>
      <c r="B398">
        <v>1</v>
      </c>
    </row>
    <row r="399" spans="1:2">
      <c r="A399" t="s">
        <v>627</v>
      </c>
      <c r="B399">
        <v>1</v>
      </c>
    </row>
    <row r="400" spans="1:2">
      <c r="A400" t="s">
        <v>628</v>
      </c>
      <c r="B400">
        <v>1</v>
      </c>
    </row>
    <row r="401" spans="1:2">
      <c r="A401" t="s">
        <v>629</v>
      </c>
      <c r="B401">
        <v>1</v>
      </c>
    </row>
    <row r="402" spans="1:2">
      <c r="A402" t="s">
        <v>631</v>
      </c>
      <c r="B402">
        <v>1</v>
      </c>
    </row>
    <row r="403" spans="1:2">
      <c r="A403" t="s">
        <v>632</v>
      </c>
      <c r="B403">
        <v>1</v>
      </c>
    </row>
    <row r="404" spans="1:2">
      <c r="A404" t="s">
        <v>633</v>
      </c>
      <c r="B404">
        <v>1</v>
      </c>
    </row>
    <row r="405" spans="1:2">
      <c r="A405" t="s">
        <v>634</v>
      </c>
      <c r="B405">
        <v>1</v>
      </c>
    </row>
    <row r="406" spans="1:2">
      <c r="A406" t="s">
        <v>635</v>
      </c>
      <c r="B406">
        <v>1</v>
      </c>
    </row>
    <row r="407" spans="1:2">
      <c r="A407" t="s">
        <v>637</v>
      </c>
      <c r="B407">
        <v>1</v>
      </c>
    </row>
    <row r="408" spans="1:2">
      <c r="A408" t="s">
        <v>638</v>
      </c>
      <c r="B408">
        <v>1</v>
      </c>
    </row>
    <row r="409" spans="1:2">
      <c r="A409" t="s">
        <v>639</v>
      </c>
      <c r="B409">
        <v>1</v>
      </c>
    </row>
    <row r="410" spans="1:2">
      <c r="A410" t="s">
        <v>640</v>
      </c>
      <c r="B410">
        <v>1</v>
      </c>
    </row>
    <row r="411" spans="1:2">
      <c r="A411" t="s">
        <v>641</v>
      </c>
      <c r="B411">
        <v>1</v>
      </c>
    </row>
    <row r="412" spans="1:2">
      <c r="A412" t="s">
        <v>643</v>
      </c>
      <c r="B412">
        <v>1</v>
      </c>
    </row>
    <row r="413" spans="1:2">
      <c r="A413" t="s">
        <v>644</v>
      </c>
      <c r="B413">
        <v>1</v>
      </c>
    </row>
    <row r="414" spans="1:2">
      <c r="A414" t="s">
        <v>645</v>
      </c>
      <c r="B414">
        <v>1</v>
      </c>
    </row>
    <row r="415" spans="1:2">
      <c r="A415" t="s">
        <v>646</v>
      </c>
      <c r="B415">
        <v>1</v>
      </c>
    </row>
    <row r="416" spans="1:2">
      <c r="A416" t="s">
        <v>647</v>
      </c>
      <c r="B416">
        <v>1</v>
      </c>
    </row>
    <row r="417" spans="1:2">
      <c r="A417" t="s">
        <v>648</v>
      </c>
      <c r="B417">
        <v>1</v>
      </c>
    </row>
    <row r="418" spans="1:2">
      <c r="A418" t="s">
        <v>650</v>
      </c>
      <c r="B418">
        <v>1</v>
      </c>
    </row>
    <row r="419" spans="1:2">
      <c r="A419" t="s">
        <v>652</v>
      </c>
      <c r="B419">
        <v>1</v>
      </c>
    </row>
    <row r="420" spans="1:2">
      <c r="A420" t="s">
        <v>653</v>
      </c>
      <c r="B420">
        <v>1</v>
      </c>
    </row>
    <row r="421" spans="1:2">
      <c r="A421" t="s">
        <v>654</v>
      </c>
      <c r="B421">
        <v>1</v>
      </c>
    </row>
    <row r="422" spans="1:2">
      <c r="A422" t="s">
        <v>656</v>
      </c>
      <c r="B422">
        <v>1</v>
      </c>
    </row>
    <row r="423" spans="1:2">
      <c r="A423" t="s">
        <v>657</v>
      </c>
      <c r="B423">
        <v>1</v>
      </c>
    </row>
    <row r="424" spans="1:2">
      <c r="A424" t="s">
        <v>658</v>
      </c>
      <c r="B424">
        <v>1</v>
      </c>
    </row>
    <row r="425" spans="1:2">
      <c r="A425" t="s">
        <v>659</v>
      </c>
      <c r="B425">
        <v>1</v>
      </c>
    </row>
    <row r="426" spans="1:2">
      <c r="A426" t="s">
        <v>660</v>
      </c>
      <c r="B426">
        <v>1</v>
      </c>
    </row>
    <row r="427" spans="1:2">
      <c r="A427" t="s">
        <v>661</v>
      </c>
      <c r="B427">
        <v>1</v>
      </c>
    </row>
    <row r="428" spans="1:2">
      <c r="A428" t="s">
        <v>662</v>
      </c>
      <c r="B428">
        <v>1</v>
      </c>
    </row>
    <row r="429" spans="1:2">
      <c r="A429" t="s">
        <v>663</v>
      </c>
      <c r="B429">
        <v>1</v>
      </c>
    </row>
    <row r="430" spans="1:2">
      <c r="A430" t="s">
        <v>664</v>
      </c>
      <c r="B430">
        <v>1</v>
      </c>
    </row>
    <row r="431" spans="1:2">
      <c r="A431" t="s">
        <v>666</v>
      </c>
      <c r="B431">
        <v>1</v>
      </c>
    </row>
    <row r="432" spans="1:2">
      <c r="A432" t="s">
        <v>667</v>
      </c>
      <c r="B432">
        <v>1</v>
      </c>
    </row>
    <row r="433" spans="1:2">
      <c r="A433" t="s">
        <v>668</v>
      </c>
      <c r="B433">
        <v>1</v>
      </c>
    </row>
    <row r="434" spans="1:2">
      <c r="A434" t="s">
        <v>670</v>
      </c>
      <c r="B434">
        <v>1</v>
      </c>
    </row>
    <row r="435" spans="1:2">
      <c r="A435" t="s">
        <v>671</v>
      </c>
      <c r="B435">
        <v>1</v>
      </c>
    </row>
    <row r="436" spans="1:2">
      <c r="A436" t="s">
        <v>672</v>
      </c>
      <c r="B436">
        <v>1</v>
      </c>
    </row>
    <row r="437" spans="1:2">
      <c r="A437" t="s">
        <v>673</v>
      </c>
      <c r="B437">
        <v>1</v>
      </c>
    </row>
    <row r="438" spans="1:2">
      <c r="A438" t="s">
        <v>674</v>
      </c>
      <c r="B438">
        <v>1</v>
      </c>
    </row>
    <row r="439" spans="1:2">
      <c r="A439" t="s">
        <v>675</v>
      </c>
      <c r="B439">
        <v>1</v>
      </c>
    </row>
    <row r="440" spans="1:2">
      <c r="A440" t="s">
        <v>676</v>
      </c>
      <c r="B440">
        <v>1</v>
      </c>
    </row>
    <row r="441" spans="1:2">
      <c r="A441" t="s">
        <v>677</v>
      </c>
      <c r="B441">
        <v>1</v>
      </c>
    </row>
    <row r="442" spans="1:2">
      <c r="A442" t="s">
        <v>678</v>
      </c>
      <c r="B442">
        <v>1</v>
      </c>
    </row>
    <row r="443" spans="1:2">
      <c r="A443" t="s">
        <v>679</v>
      </c>
      <c r="B443">
        <v>1</v>
      </c>
    </row>
    <row r="444" spans="1:2">
      <c r="A444" t="s">
        <v>680</v>
      </c>
      <c r="B444">
        <v>1</v>
      </c>
    </row>
    <row r="445" spans="1:2">
      <c r="A445" t="s">
        <v>681</v>
      </c>
      <c r="B445">
        <v>1</v>
      </c>
    </row>
    <row r="446" spans="1:2">
      <c r="A446" t="s">
        <v>682</v>
      </c>
      <c r="B446">
        <v>1</v>
      </c>
    </row>
    <row r="447" spans="1:2">
      <c r="A447" t="s">
        <v>684</v>
      </c>
      <c r="B447">
        <v>1</v>
      </c>
    </row>
    <row r="448" spans="1:2">
      <c r="A448" t="s">
        <v>685</v>
      </c>
      <c r="B448">
        <v>1</v>
      </c>
    </row>
    <row r="449" spans="1:2">
      <c r="A449" t="s">
        <v>686</v>
      </c>
      <c r="B449">
        <v>1</v>
      </c>
    </row>
    <row r="450" spans="1:2">
      <c r="A450" t="s">
        <v>687</v>
      </c>
      <c r="B450">
        <v>1</v>
      </c>
    </row>
    <row r="451" spans="1:2">
      <c r="A451" t="s">
        <v>689</v>
      </c>
      <c r="B451">
        <v>1</v>
      </c>
    </row>
    <row r="452" spans="1:2">
      <c r="A452" t="s">
        <v>690</v>
      </c>
      <c r="B452">
        <v>1</v>
      </c>
    </row>
    <row r="453" spans="1:2">
      <c r="A453" t="s">
        <v>691</v>
      </c>
      <c r="B453">
        <v>1</v>
      </c>
    </row>
    <row r="454" spans="1:2">
      <c r="A454" t="s">
        <v>692</v>
      </c>
      <c r="B454">
        <v>1</v>
      </c>
    </row>
    <row r="455" spans="1:2">
      <c r="A455" t="s">
        <v>693</v>
      </c>
      <c r="B455">
        <v>1</v>
      </c>
    </row>
    <row r="456" spans="1:2">
      <c r="A456" t="s">
        <v>694</v>
      </c>
      <c r="B456">
        <v>1</v>
      </c>
    </row>
    <row r="457" spans="1:2">
      <c r="A457" t="s">
        <v>695</v>
      </c>
      <c r="B457">
        <v>1</v>
      </c>
    </row>
    <row r="458" spans="1:2">
      <c r="A458" t="s">
        <v>696</v>
      </c>
      <c r="B458">
        <v>1</v>
      </c>
    </row>
    <row r="459" spans="1:2">
      <c r="A459" t="s">
        <v>697</v>
      </c>
      <c r="B459">
        <v>1</v>
      </c>
    </row>
    <row r="460" spans="1:2">
      <c r="A460" t="s">
        <v>698</v>
      </c>
      <c r="B460">
        <v>1</v>
      </c>
    </row>
    <row r="461" spans="1:2">
      <c r="A461" t="s">
        <v>699</v>
      </c>
      <c r="B461">
        <v>1</v>
      </c>
    </row>
    <row r="462" spans="1:2">
      <c r="A462" t="s">
        <v>700</v>
      </c>
      <c r="B462">
        <v>1</v>
      </c>
    </row>
    <row r="463" spans="1:2">
      <c r="A463" t="s">
        <v>701</v>
      </c>
      <c r="B463">
        <v>1</v>
      </c>
    </row>
    <row r="464" spans="1:2">
      <c r="A464" t="s">
        <v>702</v>
      </c>
      <c r="B464">
        <v>1</v>
      </c>
    </row>
    <row r="465" spans="1:2">
      <c r="A465" t="s">
        <v>703</v>
      </c>
      <c r="B465">
        <v>1</v>
      </c>
    </row>
    <row r="466" spans="1:2">
      <c r="A466" t="s">
        <v>704</v>
      </c>
      <c r="B466">
        <v>1</v>
      </c>
    </row>
    <row r="467" spans="1:2">
      <c r="A467" t="s">
        <v>705</v>
      </c>
      <c r="B467">
        <v>1</v>
      </c>
    </row>
    <row r="468" spans="1:2">
      <c r="A468" t="s">
        <v>706</v>
      </c>
      <c r="B468">
        <v>1</v>
      </c>
    </row>
    <row r="469" spans="1:2">
      <c r="A469" t="s">
        <v>707</v>
      </c>
      <c r="B469">
        <v>1</v>
      </c>
    </row>
    <row r="470" spans="1:2">
      <c r="A470" t="s">
        <v>708</v>
      </c>
      <c r="B470">
        <v>1</v>
      </c>
    </row>
    <row r="471" spans="1:2">
      <c r="A471" t="s">
        <v>709</v>
      </c>
      <c r="B471">
        <v>1</v>
      </c>
    </row>
    <row r="472" spans="1:2">
      <c r="A472" t="s">
        <v>710</v>
      </c>
      <c r="B472">
        <v>1</v>
      </c>
    </row>
    <row r="473" spans="1:2">
      <c r="A473" t="s">
        <v>711</v>
      </c>
      <c r="B473">
        <v>1</v>
      </c>
    </row>
    <row r="474" spans="1:2">
      <c r="A474" t="s">
        <v>712</v>
      </c>
      <c r="B474">
        <v>1</v>
      </c>
    </row>
    <row r="475" spans="1:2">
      <c r="A475" t="s">
        <v>714</v>
      </c>
      <c r="B475">
        <v>1</v>
      </c>
    </row>
    <row r="476" spans="1:2">
      <c r="A476" t="s">
        <v>715</v>
      </c>
      <c r="B476">
        <v>1</v>
      </c>
    </row>
    <row r="477" spans="1:2">
      <c r="A477" t="s">
        <v>716</v>
      </c>
      <c r="B477">
        <v>1</v>
      </c>
    </row>
    <row r="478" spans="1:2">
      <c r="A478" t="s">
        <v>717</v>
      </c>
      <c r="B478">
        <v>1</v>
      </c>
    </row>
    <row r="479" spans="1:2">
      <c r="A479" t="s">
        <v>718</v>
      </c>
      <c r="B479">
        <v>1</v>
      </c>
    </row>
    <row r="480" spans="1:2">
      <c r="A480" t="s">
        <v>719</v>
      </c>
      <c r="B480">
        <v>1</v>
      </c>
    </row>
    <row r="481" spans="1:2">
      <c r="A481" t="s">
        <v>720</v>
      </c>
      <c r="B481">
        <v>1</v>
      </c>
    </row>
    <row r="482" spans="1:2">
      <c r="A482" t="s">
        <v>721</v>
      </c>
      <c r="B482">
        <v>1</v>
      </c>
    </row>
    <row r="483" spans="1:2">
      <c r="A483" t="s">
        <v>722</v>
      </c>
      <c r="B483">
        <v>1</v>
      </c>
    </row>
    <row r="484" spans="1:2">
      <c r="A484" t="s">
        <v>723</v>
      </c>
      <c r="B484">
        <v>1</v>
      </c>
    </row>
    <row r="485" spans="1:2">
      <c r="A485" t="s">
        <v>724</v>
      </c>
      <c r="B485">
        <v>1</v>
      </c>
    </row>
    <row r="486" spans="1:2">
      <c r="A486" t="s">
        <v>725</v>
      </c>
      <c r="B486">
        <v>1</v>
      </c>
    </row>
    <row r="487" spans="1:2">
      <c r="A487" t="s">
        <v>726</v>
      </c>
      <c r="B487">
        <v>1</v>
      </c>
    </row>
    <row r="488" spans="1:2">
      <c r="A488" t="s">
        <v>727</v>
      </c>
      <c r="B488">
        <v>1</v>
      </c>
    </row>
    <row r="489" spans="1:2">
      <c r="A489" t="s">
        <v>728</v>
      </c>
      <c r="B489">
        <v>1</v>
      </c>
    </row>
    <row r="490" spans="1:2">
      <c r="A490" t="s">
        <v>729</v>
      </c>
      <c r="B490">
        <v>1</v>
      </c>
    </row>
    <row r="491" spans="1:2">
      <c r="A491" t="s">
        <v>730</v>
      </c>
      <c r="B491">
        <v>1</v>
      </c>
    </row>
    <row r="492" spans="1:2">
      <c r="A492" t="s">
        <v>731</v>
      </c>
      <c r="B492">
        <v>1</v>
      </c>
    </row>
    <row r="493" spans="1:2">
      <c r="A493" t="s">
        <v>732</v>
      </c>
      <c r="B493">
        <v>1</v>
      </c>
    </row>
    <row r="494" spans="1:2">
      <c r="A494" t="s">
        <v>733</v>
      </c>
      <c r="B494">
        <v>1</v>
      </c>
    </row>
    <row r="495" spans="1:2">
      <c r="A495" t="s">
        <v>734</v>
      </c>
      <c r="B495">
        <v>1</v>
      </c>
    </row>
    <row r="496" spans="1:2">
      <c r="A496" t="s">
        <v>736</v>
      </c>
      <c r="B496">
        <v>1</v>
      </c>
    </row>
    <row r="497" spans="1:2">
      <c r="A497" t="s">
        <v>737</v>
      </c>
      <c r="B497">
        <v>1</v>
      </c>
    </row>
    <row r="498" spans="1:2">
      <c r="A498" t="s">
        <v>738</v>
      </c>
      <c r="B498">
        <v>1</v>
      </c>
    </row>
    <row r="499" spans="1:2">
      <c r="A499" t="s">
        <v>739</v>
      </c>
      <c r="B499">
        <v>1</v>
      </c>
    </row>
    <row r="500" spans="1:2">
      <c r="A500" t="s">
        <v>740</v>
      </c>
      <c r="B500">
        <v>1</v>
      </c>
    </row>
    <row r="501" spans="1:2">
      <c r="A501" t="s">
        <v>741</v>
      </c>
      <c r="B501">
        <v>1</v>
      </c>
    </row>
    <row r="502" spans="1:2">
      <c r="A502" t="s">
        <v>742</v>
      </c>
      <c r="B502">
        <v>1</v>
      </c>
    </row>
    <row r="503" spans="1:2">
      <c r="A503" t="s">
        <v>743</v>
      </c>
      <c r="B503">
        <v>1</v>
      </c>
    </row>
    <row r="504" spans="1:2">
      <c r="A504" t="s">
        <v>744</v>
      </c>
      <c r="B504">
        <v>1</v>
      </c>
    </row>
    <row r="505" spans="1:2">
      <c r="A505" t="s">
        <v>745</v>
      </c>
      <c r="B505">
        <v>1</v>
      </c>
    </row>
    <row r="506" spans="1:2">
      <c r="A506" t="s">
        <v>746</v>
      </c>
      <c r="B506">
        <v>1</v>
      </c>
    </row>
    <row r="507" spans="1:2">
      <c r="A507" t="s">
        <v>747</v>
      </c>
      <c r="B507">
        <v>1</v>
      </c>
    </row>
    <row r="508" spans="1:2">
      <c r="A508" t="s">
        <v>748</v>
      </c>
      <c r="B508">
        <v>1</v>
      </c>
    </row>
    <row r="509" spans="1:2">
      <c r="A509" t="s">
        <v>749</v>
      </c>
      <c r="B509">
        <v>1</v>
      </c>
    </row>
    <row r="510" spans="1:2">
      <c r="A510" t="s">
        <v>750</v>
      </c>
      <c r="B510">
        <v>1</v>
      </c>
    </row>
    <row r="511" spans="1:2">
      <c r="A511" t="s">
        <v>751</v>
      </c>
      <c r="B511">
        <v>1</v>
      </c>
    </row>
    <row r="512" spans="1:2">
      <c r="A512" t="s">
        <v>752</v>
      </c>
      <c r="B512">
        <v>1</v>
      </c>
    </row>
    <row r="513" spans="1:2">
      <c r="A513" t="s">
        <v>753</v>
      </c>
      <c r="B513">
        <v>1</v>
      </c>
    </row>
    <row r="514" spans="1:2">
      <c r="A514" t="s">
        <v>755</v>
      </c>
      <c r="B514">
        <v>1</v>
      </c>
    </row>
    <row r="515" spans="1:2">
      <c r="A515" t="s">
        <v>756</v>
      </c>
      <c r="B515">
        <v>1</v>
      </c>
    </row>
    <row r="516" spans="1:2">
      <c r="A516" t="s">
        <v>757</v>
      </c>
      <c r="B516">
        <v>1</v>
      </c>
    </row>
    <row r="517" spans="1:2">
      <c r="A517" t="s">
        <v>758</v>
      </c>
      <c r="B517">
        <v>1</v>
      </c>
    </row>
    <row r="518" spans="1:2">
      <c r="A518" t="s">
        <v>759</v>
      </c>
      <c r="B518">
        <v>1</v>
      </c>
    </row>
    <row r="519" spans="1:2">
      <c r="A519" t="s">
        <v>760</v>
      </c>
      <c r="B519">
        <v>1</v>
      </c>
    </row>
    <row r="520" spans="1:2">
      <c r="A520" t="s">
        <v>761</v>
      </c>
      <c r="B520">
        <v>1</v>
      </c>
    </row>
    <row r="521" spans="1:2">
      <c r="A521" t="s">
        <v>762</v>
      </c>
      <c r="B521">
        <v>1</v>
      </c>
    </row>
    <row r="522" spans="1:2">
      <c r="A522" t="s">
        <v>763</v>
      </c>
      <c r="B522">
        <v>1</v>
      </c>
    </row>
    <row r="523" spans="1:2">
      <c r="A523" t="s">
        <v>764</v>
      </c>
      <c r="B523">
        <v>1</v>
      </c>
    </row>
    <row r="524" spans="1:2">
      <c r="A524" t="s">
        <v>765</v>
      </c>
      <c r="B524">
        <v>1</v>
      </c>
    </row>
    <row r="525" spans="1:2">
      <c r="A525" t="s">
        <v>767</v>
      </c>
      <c r="B525">
        <v>1</v>
      </c>
    </row>
    <row r="526" spans="1:2">
      <c r="A526" t="s">
        <v>768</v>
      </c>
      <c r="B526">
        <v>1</v>
      </c>
    </row>
    <row r="527" spans="1:2">
      <c r="A527" t="s">
        <v>769</v>
      </c>
      <c r="B527">
        <v>1</v>
      </c>
    </row>
    <row r="528" spans="1:2">
      <c r="A528" t="s">
        <v>770</v>
      </c>
      <c r="B528">
        <v>1</v>
      </c>
    </row>
    <row r="529" spans="1:2">
      <c r="A529" t="s">
        <v>771</v>
      </c>
      <c r="B529">
        <v>1</v>
      </c>
    </row>
    <row r="530" spans="1:2">
      <c r="A530" t="s">
        <v>772</v>
      </c>
      <c r="B530">
        <v>1</v>
      </c>
    </row>
    <row r="531" spans="1:2">
      <c r="A531" t="s">
        <v>774</v>
      </c>
      <c r="B531">
        <v>1</v>
      </c>
    </row>
    <row r="532" spans="1:2">
      <c r="A532" t="s">
        <v>775</v>
      </c>
      <c r="B532">
        <v>1</v>
      </c>
    </row>
    <row r="533" spans="1:2">
      <c r="A533" t="s">
        <v>776</v>
      </c>
      <c r="B533">
        <v>1</v>
      </c>
    </row>
    <row r="534" spans="1:2">
      <c r="A534" t="s">
        <v>777</v>
      </c>
      <c r="B534">
        <v>1</v>
      </c>
    </row>
    <row r="535" spans="1:2">
      <c r="A535" t="s">
        <v>778</v>
      </c>
      <c r="B535">
        <v>1</v>
      </c>
    </row>
    <row r="536" spans="1:2">
      <c r="A536" t="s">
        <v>779</v>
      </c>
      <c r="B536">
        <v>1</v>
      </c>
    </row>
    <row r="537" spans="1:2">
      <c r="A537" t="s">
        <v>780</v>
      </c>
      <c r="B537">
        <v>1</v>
      </c>
    </row>
    <row r="538" spans="1:2">
      <c r="A538" t="s">
        <v>781</v>
      </c>
      <c r="B538">
        <v>1</v>
      </c>
    </row>
    <row r="539" spans="1:2">
      <c r="A539" t="s">
        <v>782</v>
      </c>
      <c r="B539">
        <v>1</v>
      </c>
    </row>
    <row r="540" spans="1:2">
      <c r="A540" t="s">
        <v>784</v>
      </c>
      <c r="B540">
        <v>1</v>
      </c>
    </row>
    <row r="541" spans="1:2">
      <c r="A541" t="s">
        <v>785</v>
      </c>
      <c r="B541">
        <v>1</v>
      </c>
    </row>
    <row r="542" spans="1:2">
      <c r="A542" t="s">
        <v>786</v>
      </c>
      <c r="B542">
        <v>1</v>
      </c>
    </row>
    <row r="543" spans="1:2">
      <c r="A543" t="s">
        <v>787</v>
      </c>
      <c r="B543">
        <v>1</v>
      </c>
    </row>
    <row r="544" spans="1:2">
      <c r="A544" t="s">
        <v>788</v>
      </c>
      <c r="B544">
        <v>1</v>
      </c>
    </row>
    <row r="545" spans="1:2">
      <c r="A545" t="s">
        <v>789</v>
      </c>
      <c r="B545">
        <v>1</v>
      </c>
    </row>
    <row r="546" spans="1:2">
      <c r="A546" t="s">
        <v>790</v>
      </c>
      <c r="B546">
        <v>1</v>
      </c>
    </row>
    <row r="547" spans="1:2">
      <c r="A547" t="s">
        <v>791</v>
      </c>
      <c r="B547">
        <v>1</v>
      </c>
    </row>
    <row r="548" spans="1:2">
      <c r="A548" t="s">
        <v>792</v>
      </c>
      <c r="B548">
        <v>1</v>
      </c>
    </row>
    <row r="549" spans="1:2">
      <c r="A549" t="s">
        <v>793</v>
      </c>
      <c r="B549">
        <v>1</v>
      </c>
    </row>
    <row r="550" spans="1:2">
      <c r="A550" t="s">
        <v>794</v>
      </c>
      <c r="B550">
        <v>1</v>
      </c>
    </row>
    <row r="551" spans="1:2">
      <c r="A551" t="s">
        <v>795</v>
      </c>
      <c r="B551">
        <v>1</v>
      </c>
    </row>
    <row r="552" spans="1:2">
      <c r="A552" t="s">
        <v>796</v>
      </c>
      <c r="B552">
        <v>1</v>
      </c>
    </row>
    <row r="553" spans="1:2">
      <c r="A553" t="s">
        <v>797</v>
      </c>
      <c r="B553">
        <v>1</v>
      </c>
    </row>
    <row r="554" spans="1:2">
      <c r="A554" t="s">
        <v>798</v>
      </c>
      <c r="B554">
        <v>1</v>
      </c>
    </row>
    <row r="555" spans="1:2">
      <c r="A555" t="s">
        <v>799</v>
      </c>
      <c r="B555">
        <v>1</v>
      </c>
    </row>
    <row r="556" spans="1:2">
      <c r="A556" t="s">
        <v>800</v>
      </c>
      <c r="B556">
        <v>1</v>
      </c>
    </row>
    <row r="557" spans="1:2">
      <c r="A557" t="s">
        <v>801</v>
      </c>
      <c r="B557">
        <v>1</v>
      </c>
    </row>
    <row r="558" spans="1:2">
      <c r="A558" t="s">
        <v>802</v>
      </c>
      <c r="B558">
        <v>1</v>
      </c>
    </row>
    <row r="559" spans="1:2">
      <c r="A559" t="s">
        <v>803</v>
      </c>
      <c r="B559">
        <v>1</v>
      </c>
    </row>
    <row r="560" spans="1:2">
      <c r="A560" t="s">
        <v>804</v>
      </c>
      <c r="B560">
        <v>1</v>
      </c>
    </row>
    <row r="561" spans="1:2">
      <c r="A561" t="s">
        <v>805</v>
      </c>
      <c r="B561">
        <v>1</v>
      </c>
    </row>
    <row r="562" spans="1:2">
      <c r="A562" t="s">
        <v>806</v>
      </c>
      <c r="B562">
        <v>1</v>
      </c>
    </row>
    <row r="563" spans="1:2">
      <c r="A563" t="s">
        <v>807</v>
      </c>
      <c r="B563">
        <v>1</v>
      </c>
    </row>
    <row r="564" spans="1:2">
      <c r="A564" t="s">
        <v>808</v>
      </c>
      <c r="B564">
        <v>1</v>
      </c>
    </row>
    <row r="565" spans="1:2">
      <c r="A565" t="s">
        <v>809</v>
      </c>
      <c r="B565">
        <v>1</v>
      </c>
    </row>
    <row r="566" spans="1:2">
      <c r="A566" t="s">
        <v>810</v>
      </c>
      <c r="B566">
        <v>1</v>
      </c>
    </row>
    <row r="567" spans="1:2">
      <c r="A567" t="s">
        <v>811</v>
      </c>
      <c r="B567">
        <v>1</v>
      </c>
    </row>
    <row r="568" spans="1:2">
      <c r="A568" t="s">
        <v>812</v>
      </c>
      <c r="B568">
        <v>1</v>
      </c>
    </row>
    <row r="569" spans="1:2">
      <c r="A569" t="s">
        <v>814</v>
      </c>
      <c r="B569">
        <v>1</v>
      </c>
    </row>
    <row r="570" spans="1:2">
      <c r="A570" t="s">
        <v>815</v>
      </c>
      <c r="B570">
        <v>1</v>
      </c>
    </row>
    <row r="571" spans="1:2">
      <c r="A571" t="s">
        <v>816</v>
      </c>
      <c r="B571">
        <v>1</v>
      </c>
    </row>
    <row r="572" spans="1:2">
      <c r="A572" t="s">
        <v>817</v>
      </c>
      <c r="B572">
        <v>1</v>
      </c>
    </row>
    <row r="573" spans="1:2">
      <c r="A573" t="s">
        <v>818</v>
      </c>
      <c r="B573">
        <v>1</v>
      </c>
    </row>
    <row r="574" spans="1:2">
      <c r="A574" t="s">
        <v>819</v>
      </c>
      <c r="B574">
        <v>1</v>
      </c>
    </row>
    <row r="575" spans="1:2">
      <c r="A575" t="s">
        <v>820</v>
      </c>
      <c r="B575">
        <v>1</v>
      </c>
    </row>
    <row r="576" spans="1:2">
      <c r="A576" t="s">
        <v>821</v>
      </c>
      <c r="B576">
        <v>1</v>
      </c>
    </row>
    <row r="577" spans="1:2">
      <c r="A577" t="s">
        <v>822</v>
      </c>
      <c r="B577">
        <v>1</v>
      </c>
    </row>
    <row r="578" spans="1:2">
      <c r="A578" t="s">
        <v>823</v>
      </c>
      <c r="B578">
        <v>1</v>
      </c>
    </row>
    <row r="579" spans="1:2">
      <c r="A579" t="s">
        <v>824</v>
      </c>
      <c r="B579">
        <v>1</v>
      </c>
    </row>
    <row r="580" spans="1:2">
      <c r="A580" t="s">
        <v>825</v>
      </c>
      <c r="B580">
        <v>1</v>
      </c>
    </row>
    <row r="581" spans="1:2">
      <c r="A581" t="s">
        <v>826</v>
      </c>
      <c r="B581">
        <v>1</v>
      </c>
    </row>
    <row r="582" spans="1:2">
      <c r="A582" t="s">
        <v>827</v>
      </c>
      <c r="B582">
        <v>1</v>
      </c>
    </row>
    <row r="583" spans="1:2">
      <c r="A583" t="s">
        <v>828</v>
      </c>
      <c r="B583">
        <v>1</v>
      </c>
    </row>
    <row r="584" spans="1:2">
      <c r="A584" t="s">
        <v>829</v>
      </c>
      <c r="B584">
        <v>1</v>
      </c>
    </row>
    <row r="585" spans="1:2">
      <c r="A585" t="s">
        <v>830</v>
      </c>
      <c r="B585">
        <v>1</v>
      </c>
    </row>
    <row r="586" spans="1:2">
      <c r="A586" t="s">
        <v>831</v>
      </c>
      <c r="B586">
        <v>1</v>
      </c>
    </row>
    <row r="587" spans="1:2">
      <c r="A587" t="s">
        <v>832</v>
      </c>
      <c r="B587">
        <v>1</v>
      </c>
    </row>
    <row r="588" spans="1:2">
      <c r="A588" t="s">
        <v>833</v>
      </c>
      <c r="B588">
        <v>1</v>
      </c>
    </row>
    <row r="589" spans="1:2">
      <c r="A589" t="s">
        <v>834</v>
      </c>
      <c r="B589">
        <v>1</v>
      </c>
    </row>
    <row r="590" spans="1:2">
      <c r="A590" t="s">
        <v>835</v>
      </c>
      <c r="B590">
        <v>1</v>
      </c>
    </row>
    <row r="591" spans="1:2">
      <c r="A591" t="s">
        <v>837</v>
      </c>
      <c r="B591">
        <v>1</v>
      </c>
    </row>
    <row r="592" spans="1:2">
      <c r="A592" t="s">
        <v>838</v>
      </c>
      <c r="B592">
        <v>1</v>
      </c>
    </row>
    <row r="593" spans="1:2">
      <c r="A593" t="s">
        <v>839</v>
      </c>
      <c r="B593">
        <v>1</v>
      </c>
    </row>
    <row r="594" spans="1:2">
      <c r="A594" t="s">
        <v>840</v>
      </c>
      <c r="B594">
        <v>1</v>
      </c>
    </row>
    <row r="595" spans="1:2">
      <c r="A595" t="s">
        <v>841</v>
      </c>
      <c r="B595">
        <v>1</v>
      </c>
    </row>
    <row r="596" spans="1:2">
      <c r="A596" t="s">
        <v>842</v>
      </c>
      <c r="B596">
        <v>1</v>
      </c>
    </row>
    <row r="597" spans="1:2">
      <c r="A597" t="s">
        <v>843</v>
      </c>
      <c r="B597">
        <v>1</v>
      </c>
    </row>
    <row r="598" spans="1:2">
      <c r="A598" t="s">
        <v>844</v>
      </c>
      <c r="B598">
        <v>1</v>
      </c>
    </row>
    <row r="599" spans="1:2">
      <c r="A599" t="s">
        <v>845</v>
      </c>
      <c r="B599">
        <v>1</v>
      </c>
    </row>
    <row r="600" spans="1:2">
      <c r="A600" t="s">
        <v>846</v>
      </c>
      <c r="B600">
        <v>1</v>
      </c>
    </row>
    <row r="601" spans="1:2">
      <c r="A601" t="s">
        <v>847</v>
      </c>
      <c r="B601">
        <v>1</v>
      </c>
    </row>
    <row r="602" spans="1:2">
      <c r="A602" t="s">
        <v>848</v>
      </c>
      <c r="B602">
        <v>1</v>
      </c>
    </row>
    <row r="603" spans="1:2">
      <c r="A603" t="s">
        <v>849</v>
      </c>
      <c r="B603">
        <v>1</v>
      </c>
    </row>
    <row r="604" spans="1:2">
      <c r="A604" t="s">
        <v>850</v>
      </c>
      <c r="B604">
        <v>1</v>
      </c>
    </row>
    <row r="605" spans="1:2">
      <c r="A605" t="s">
        <v>851</v>
      </c>
      <c r="B605">
        <v>1</v>
      </c>
    </row>
    <row r="606" spans="1:2">
      <c r="A606" t="s">
        <v>852</v>
      </c>
      <c r="B606">
        <v>1</v>
      </c>
    </row>
    <row r="607" spans="1:2">
      <c r="A607" t="s">
        <v>853</v>
      </c>
      <c r="B607">
        <v>1</v>
      </c>
    </row>
    <row r="608" spans="1:2">
      <c r="A608" t="s">
        <v>854</v>
      </c>
      <c r="B608">
        <v>1</v>
      </c>
    </row>
    <row r="609" spans="1:2">
      <c r="A609" t="s">
        <v>855</v>
      </c>
      <c r="B609">
        <v>1</v>
      </c>
    </row>
    <row r="610" spans="1:2">
      <c r="A610" t="s">
        <v>856</v>
      </c>
      <c r="B610">
        <v>1</v>
      </c>
    </row>
    <row r="611" spans="1:2">
      <c r="A611" t="s">
        <v>857</v>
      </c>
      <c r="B611">
        <v>1</v>
      </c>
    </row>
    <row r="612" spans="1:2">
      <c r="A612" t="s">
        <v>858</v>
      </c>
      <c r="B612">
        <v>1</v>
      </c>
    </row>
    <row r="613" spans="1:2">
      <c r="A613" t="s">
        <v>859</v>
      </c>
      <c r="B613">
        <v>1</v>
      </c>
    </row>
    <row r="614" spans="1:2">
      <c r="A614" t="s">
        <v>860</v>
      </c>
      <c r="B614">
        <v>1</v>
      </c>
    </row>
    <row r="615" spans="1:2">
      <c r="A615" t="s">
        <v>861</v>
      </c>
      <c r="B615">
        <v>1</v>
      </c>
    </row>
    <row r="616" spans="1:2">
      <c r="A616" t="s">
        <v>862</v>
      </c>
      <c r="B616">
        <v>1</v>
      </c>
    </row>
    <row r="617" spans="1:2">
      <c r="A617" t="s">
        <v>863</v>
      </c>
      <c r="B617">
        <v>1</v>
      </c>
    </row>
    <row r="618" spans="1:2">
      <c r="A618" t="s">
        <v>864</v>
      </c>
      <c r="B618">
        <v>1</v>
      </c>
    </row>
    <row r="619" spans="1:2">
      <c r="A619" t="s">
        <v>865</v>
      </c>
      <c r="B619">
        <v>1</v>
      </c>
    </row>
    <row r="620" spans="1:2">
      <c r="A620" t="s">
        <v>866</v>
      </c>
      <c r="B620">
        <v>1</v>
      </c>
    </row>
    <row r="621" spans="1:2">
      <c r="A621" t="s">
        <v>867</v>
      </c>
      <c r="B621">
        <v>1</v>
      </c>
    </row>
    <row r="622" spans="1:2">
      <c r="A622" t="s">
        <v>868</v>
      </c>
      <c r="B622">
        <v>1</v>
      </c>
    </row>
    <row r="623" spans="1:2">
      <c r="A623" t="s">
        <v>869</v>
      </c>
      <c r="B623">
        <v>1</v>
      </c>
    </row>
    <row r="624" spans="1:2">
      <c r="A624" t="s">
        <v>870</v>
      </c>
      <c r="B624">
        <v>1</v>
      </c>
    </row>
    <row r="625" spans="1:2">
      <c r="A625" t="s">
        <v>871</v>
      </c>
      <c r="B625">
        <v>1</v>
      </c>
    </row>
    <row r="626" spans="1:2">
      <c r="A626" t="s">
        <v>872</v>
      </c>
      <c r="B626">
        <v>1</v>
      </c>
    </row>
    <row r="627" spans="1:2">
      <c r="A627" t="s">
        <v>873</v>
      </c>
      <c r="B627">
        <v>1</v>
      </c>
    </row>
    <row r="628" spans="1:2">
      <c r="A628" t="s">
        <v>874</v>
      </c>
      <c r="B628">
        <v>1</v>
      </c>
    </row>
    <row r="629" spans="1:2">
      <c r="A629" t="s">
        <v>875</v>
      </c>
      <c r="B629">
        <v>1</v>
      </c>
    </row>
    <row r="630" spans="1:2">
      <c r="A630" t="s">
        <v>876</v>
      </c>
      <c r="B630">
        <v>1</v>
      </c>
    </row>
    <row r="631" spans="1:2">
      <c r="A631" t="s">
        <v>877</v>
      </c>
      <c r="B631">
        <v>1</v>
      </c>
    </row>
    <row r="632" spans="1:2">
      <c r="A632" t="s">
        <v>878</v>
      </c>
      <c r="B632">
        <v>1</v>
      </c>
    </row>
    <row r="633" spans="1:2">
      <c r="A633" t="s">
        <v>879</v>
      </c>
      <c r="B633">
        <v>1</v>
      </c>
    </row>
    <row r="634" spans="1:2">
      <c r="A634" t="s">
        <v>880</v>
      </c>
      <c r="B634">
        <v>1</v>
      </c>
    </row>
    <row r="635" spans="1:2">
      <c r="A635" t="s">
        <v>881</v>
      </c>
      <c r="B635">
        <v>1</v>
      </c>
    </row>
    <row r="636" spans="1:2">
      <c r="A636" t="s">
        <v>882</v>
      </c>
      <c r="B636">
        <v>1</v>
      </c>
    </row>
    <row r="637" spans="1:2">
      <c r="A637" t="s">
        <v>883</v>
      </c>
      <c r="B637">
        <v>1</v>
      </c>
    </row>
    <row r="638" spans="1:2">
      <c r="A638" t="s">
        <v>884</v>
      </c>
      <c r="B638">
        <v>1</v>
      </c>
    </row>
    <row r="639" spans="1:2">
      <c r="A639" t="s">
        <v>885</v>
      </c>
      <c r="B639">
        <v>1</v>
      </c>
    </row>
    <row r="640" spans="1:2">
      <c r="A640" t="s">
        <v>886</v>
      </c>
      <c r="B640">
        <v>1</v>
      </c>
    </row>
    <row r="641" spans="1:2">
      <c r="A641" t="s">
        <v>887</v>
      </c>
      <c r="B641">
        <v>1</v>
      </c>
    </row>
    <row r="642" spans="1:2">
      <c r="A642" t="s">
        <v>888</v>
      </c>
      <c r="B642">
        <v>1</v>
      </c>
    </row>
    <row r="643" spans="1:2">
      <c r="A643" t="s">
        <v>889</v>
      </c>
      <c r="B643">
        <v>1</v>
      </c>
    </row>
    <row r="644" spans="1:2">
      <c r="A644" t="s">
        <v>890</v>
      </c>
      <c r="B644">
        <v>1</v>
      </c>
    </row>
    <row r="645" spans="1:2">
      <c r="A645" t="s">
        <v>891</v>
      </c>
      <c r="B645">
        <v>1</v>
      </c>
    </row>
    <row r="646" spans="1:2">
      <c r="A646" t="s">
        <v>892</v>
      </c>
      <c r="B646">
        <v>1</v>
      </c>
    </row>
    <row r="647" spans="1:2">
      <c r="A647" t="s">
        <v>893</v>
      </c>
      <c r="B647">
        <v>1</v>
      </c>
    </row>
    <row r="648" spans="1:2">
      <c r="A648" t="s">
        <v>894</v>
      </c>
      <c r="B648">
        <v>1</v>
      </c>
    </row>
    <row r="649" spans="1:2">
      <c r="A649" t="s">
        <v>895</v>
      </c>
      <c r="B649">
        <v>1</v>
      </c>
    </row>
    <row r="650" spans="1:2">
      <c r="A650" t="s">
        <v>896</v>
      </c>
      <c r="B650">
        <v>1</v>
      </c>
    </row>
    <row r="651" spans="1:2">
      <c r="A651" t="s">
        <v>897</v>
      </c>
      <c r="B651">
        <v>1</v>
      </c>
    </row>
    <row r="652" spans="1:2">
      <c r="A652" t="s">
        <v>898</v>
      </c>
      <c r="B652">
        <v>1</v>
      </c>
    </row>
    <row r="653" spans="1:2">
      <c r="A653" t="s">
        <v>899</v>
      </c>
      <c r="B653">
        <v>1</v>
      </c>
    </row>
    <row r="654" spans="1:2">
      <c r="A654" t="s">
        <v>900</v>
      </c>
      <c r="B654">
        <v>1</v>
      </c>
    </row>
    <row r="655" spans="1:2">
      <c r="A655" t="s">
        <v>901</v>
      </c>
      <c r="B655">
        <v>1</v>
      </c>
    </row>
    <row r="656" spans="1:2">
      <c r="A656" t="s">
        <v>902</v>
      </c>
      <c r="B656">
        <v>1</v>
      </c>
    </row>
    <row r="657" spans="1:2">
      <c r="A657" t="s">
        <v>903</v>
      </c>
      <c r="B657">
        <v>1</v>
      </c>
    </row>
    <row r="658" spans="1:2">
      <c r="A658" t="s">
        <v>904</v>
      </c>
      <c r="B658">
        <v>1</v>
      </c>
    </row>
    <row r="659" spans="1:2">
      <c r="A659" t="s">
        <v>906</v>
      </c>
      <c r="B659">
        <v>1</v>
      </c>
    </row>
    <row r="660" spans="1:2">
      <c r="A660" t="s">
        <v>907</v>
      </c>
      <c r="B660">
        <v>1</v>
      </c>
    </row>
    <row r="661" spans="1:2">
      <c r="A661" t="s">
        <v>908</v>
      </c>
      <c r="B661">
        <v>1</v>
      </c>
    </row>
    <row r="662" spans="1:2">
      <c r="A662" t="s">
        <v>909</v>
      </c>
      <c r="B662">
        <v>1</v>
      </c>
    </row>
    <row r="663" spans="1:2">
      <c r="A663" t="s">
        <v>910</v>
      </c>
      <c r="B663">
        <v>1</v>
      </c>
    </row>
    <row r="664" spans="1:2">
      <c r="A664" t="s">
        <v>911</v>
      </c>
      <c r="B664">
        <v>1</v>
      </c>
    </row>
    <row r="665" spans="1:2">
      <c r="A665" t="s">
        <v>912</v>
      </c>
      <c r="B665">
        <v>1</v>
      </c>
    </row>
    <row r="666" spans="1:2">
      <c r="A666" t="s">
        <v>913</v>
      </c>
      <c r="B666">
        <v>1</v>
      </c>
    </row>
    <row r="667" spans="1:2">
      <c r="A667" t="s">
        <v>914</v>
      </c>
      <c r="B667">
        <v>1</v>
      </c>
    </row>
    <row r="668" spans="1:2">
      <c r="A668" t="s">
        <v>915</v>
      </c>
      <c r="B668">
        <v>1</v>
      </c>
    </row>
    <row r="669" spans="1:2">
      <c r="A669" t="s">
        <v>916</v>
      </c>
      <c r="B669">
        <v>1</v>
      </c>
    </row>
    <row r="670" spans="1:2">
      <c r="A670" t="s">
        <v>917</v>
      </c>
      <c r="B670">
        <v>1</v>
      </c>
    </row>
    <row r="671" spans="1:2">
      <c r="A671" t="s">
        <v>918</v>
      </c>
      <c r="B671">
        <v>1</v>
      </c>
    </row>
    <row r="672" spans="1:2">
      <c r="A672" t="s">
        <v>919</v>
      </c>
      <c r="B672">
        <v>1</v>
      </c>
    </row>
    <row r="673" spans="1:2">
      <c r="A673" t="s">
        <v>920</v>
      </c>
      <c r="B673">
        <v>1</v>
      </c>
    </row>
    <row r="674" spans="1:2">
      <c r="A674" t="s">
        <v>922</v>
      </c>
      <c r="B674">
        <v>1</v>
      </c>
    </row>
    <row r="675" spans="1:2">
      <c r="A675" t="s">
        <v>923</v>
      </c>
      <c r="B675">
        <v>1</v>
      </c>
    </row>
    <row r="676" spans="1:2">
      <c r="A676" t="s">
        <v>924</v>
      </c>
      <c r="B676">
        <v>1</v>
      </c>
    </row>
    <row r="677" spans="1:2">
      <c r="A677" t="s">
        <v>925</v>
      </c>
      <c r="B677">
        <v>1</v>
      </c>
    </row>
    <row r="678" spans="1:2">
      <c r="A678" t="s">
        <v>926</v>
      </c>
      <c r="B678">
        <v>1</v>
      </c>
    </row>
    <row r="679" spans="1:2">
      <c r="A679" t="s">
        <v>927</v>
      </c>
      <c r="B679">
        <v>1</v>
      </c>
    </row>
    <row r="680" spans="1:2">
      <c r="A680" t="s">
        <v>928</v>
      </c>
      <c r="B680">
        <v>1</v>
      </c>
    </row>
    <row r="681" spans="1:2">
      <c r="A681" t="s">
        <v>929</v>
      </c>
      <c r="B681">
        <v>1</v>
      </c>
    </row>
    <row r="682" spans="1:2">
      <c r="A682" t="s">
        <v>930</v>
      </c>
      <c r="B682">
        <v>1</v>
      </c>
    </row>
    <row r="683" spans="1:2">
      <c r="A683" t="s">
        <v>931</v>
      </c>
      <c r="B683">
        <v>1</v>
      </c>
    </row>
    <row r="684" spans="1:2">
      <c r="A684" t="s">
        <v>932</v>
      </c>
      <c r="B684">
        <v>1</v>
      </c>
    </row>
    <row r="685" spans="1:2">
      <c r="A685" t="s">
        <v>933</v>
      </c>
      <c r="B685">
        <v>1</v>
      </c>
    </row>
    <row r="686" spans="1:2">
      <c r="A686" t="s">
        <v>934</v>
      </c>
      <c r="B686">
        <v>1</v>
      </c>
    </row>
    <row r="687" spans="1:2">
      <c r="A687" t="s">
        <v>935</v>
      </c>
      <c r="B687">
        <v>1</v>
      </c>
    </row>
    <row r="688" spans="1:2">
      <c r="A688" t="s">
        <v>936</v>
      </c>
      <c r="B688">
        <v>1</v>
      </c>
    </row>
    <row r="689" spans="1:2">
      <c r="A689" t="s">
        <v>937</v>
      </c>
      <c r="B689">
        <v>1</v>
      </c>
    </row>
    <row r="690" spans="1:2">
      <c r="A690" t="s">
        <v>938</v>
      </c>
      <c r="B690">
        <v>1</v>
      </c>
    </row>
    <row r="691" spans="1:2">
      <c r="A691" t="s">
        <v>939</v>
      </c>
      <c r="B691">
        <v>1</v>
      </c>
    </row>
    <row r="692" spans="1:2">
      <c r="A692" t="s">
        <v>940</v>
      </c>
      <c r="B692">
        <v>1</v>
      </c>
    </row>
    <row r="693" spans="1:2">
      <c r="A693" t="s">
        <v>941</v>
      </c>
      <c r="B693">
        <v>1</v>
      </c>
    </row>
    <row r="694" spans="1:2">
      <c r="A694" t="s">
        <v>942</v>
      </c>
      <c r="B694">
        <v>1</v>
      </c>
    </row>
    <row r="695" spans="1:2">
      <c r="A695" t="s">
        <v>943</v>
      </c>
      <c r="B695">
        <v>1</v>
      </c>
    </row>
    <row r="696" spans="1:2">
      <c r="A696" t="s">
        <v>944</v>
      </c>
      <c r="B696">
        <v>1</v>
      </c>
    </row>
    <row r="697" spans="1:2">
      <c r="A697" t="s">
        <v>945</v>
      </c>
      <c r="B697">
        <v>1</v>
      </c>
    </row>
    <row r="698" spans="1:2">
      <c r="A698" t="s">
        <v>946</v>
      </c>
      <c r="B698">
        <v>1</v>
      </c>
    </row>
    <row r="699" spans="1:2">
      <c r="A699" t="s">
        <v>947</v>
      </c>
      <c r="B699">
        <v>1</v>
      </c>
    </row>
    <row r="700" spans="1:2">
      <c r="A700" t="s">
        <v>948</v>
      </c>
      <c r="B700">
        <v>1</v>
      </c>
    </row>
    <row r="701" spans="1:2">
      <c r="A701" t="s">
        <v>949</v>
      </c>
      <c r="B701">
        <v>1</v>
      </c>
    </row>
    <row r="702" spans="1:2">
      <c r="A702" t="s">
        <v>950</v>
      </c>
      <c r="B702">
        <v>1</v>
      </c>
    </row>
    <row r="703" spans="1:2">
      <c r="A703" t="s">
        <v>951</v>
      </c>
      <c r="B703">
        <v>1</v>
      </c>
    </row>
    <row r="704" spans="1:2">
      <c r="A704" t="s">
        <v>952</v>
      </c>
      <c r="B704">
        <v>1</v>
      </c>
    </row>
    <row r="705" spans="1:2">
      <c r="A705" t="s">
        <v>953</v>
      </c>
      <c r="B705">
        <v>1</v>
      </c>
    </row>
    <row r="706" spans="1:2">
      <c r="A706" t="s">
        <v>954</v>
      </c>
      <c r="B706">
        <v>1</v>
      </c>
    </row>
    <row r="707" spans="1:2">
      <c r="A707" t="s">
        <v>955</v>
      </c>
      <c r="B707">
        <v>1</v>
      </c>
    </row>
    <row r="708" spans="1:2">
      <c r="A708" t="s">
        <v>956</v>
      </c>
      <c r="B708">
        <v>1</v>
      </c>
    </row>
    <row r="709" spans="1:2">
      <c r="A709" t="s">
        <v>957</v>
      </c>
      <c r="B709">
        <v>1</v>
      </c>
    </row>
    <row r="710" spans="1:2">
      <c r="A710" t="s">
        <v>958</v>
      </c>
      <c r="B710">
        <v>1</v>
      </c>
    </row>
    <row r="711" spans="1:2">
      <c r="A711" t="s">
        <v>959</v>
      </c>
      <c r="B711">
        <v>1</v>
      </c>
    </row>
    <row r="712" spans="1:2">
      <c r="A712" t="s">
        <v>960</v>
      </c>
      <c r="B712">
        <v>1</v>
      </c>
    </row>
    <row r="713" spans="1:2">
      <c r="A713" t="s">
        <v>961</v>
      </c>
      <c r="B713">
        <v>1</v>
      </c>
    </row>
    <row r="714" spans="1:2">
      <c r="A714" t="s">
        <v>962</v>
      </c>
      <c r="B714">
        <v>1</v>
      </c>
    </row>
    <row r="715" spans="1:2">
      <c r="A715" t="s">
        <v>963</v>
      </c>
      <c r="B715">
        <v>1</v>
      </c>
    </row>
    <row r="716" spans="1:2">
      <c r="A716" t="s">
        <v>964</v>
      </c>
      <c r="B716">
        <v>1</v>
      </c>
    </row>
    <row r="717" spans="1:2">
      <c r="A717" t="s">
        <v>965</v>
      </c>
      <c r="B717">
        <v>1</v>
      </c>
    </row>
    <row r="718" spans="1:2">
      <c r="A718" t="s">
        <v>966</v>
      </c>
      <c r="B718">
        <v>1</v>
      </c>
    </row>
    <row r="719" spans="1:2">
      <c r="A719" t="s">
        <v>967</v>
      </c>
      <c r="B719">
        <v>1</v>
      </c>
    </row>
    <row r="720" spans="1:2">
      <c r="A720" t="s">
        <v>968</v>
      </c>
      <c r="B720">
        <v>1</v>
      </c>
    </row>
    <row r="721" spans="1:2">
      <c r="A721" t="s">
        <v>969</v>
      </c>
      <c r="B721">
        <v>1</v>
      </c>
    </row>
    <row r="722" spans="1:2">
      <c r="A722" t="s">
        <v>970</v>
      </c>
      <c r="B722">
        <v>1</v>
      </c>
    </row>
    <row r="723" spans="1:2">
      <c r="A723" t="s">
        <v>971</v>
      </c>
      <c r="B723">
        <v>1</v>
      </c>
    </row>
    <row r="724" spans="1:2">
      <c r="A724" t="s">
        <v>972</v>
      </c>
      <c r="B724">
        <v>1</v>
      </c>
    </row>
    <row r="725" spans="1:2">
      <c r="A725" t="s">
        <v>973</v>
      </c>
      <c r="B725">
        <v>1</v>
      </c>
    </row>
    <row r="726" spans="1:2">
      <c r="A726" t="s">
        <v>974</v>
      </c>
      <c r="B726">
        <v>1</v>
      </c>
    </row>
    <row r="727" spans="1:2">
      <c r="A727" t="s">
        <v>975</v>
      </c>
      <c r="B727">
        <v>1</v>
      </c>
    </row>
    <row r="728" spans="1:2">
      <c r="A728" t="s">
        <v>977</v>
      </c>
      <c r="B728">
        <v>1</v>
      </c>
    </row>
    <row r="729" spans="1:2">
      <c r="A729" t="s">
        <v>978</v>
      </c>
      <c r="B729">
        <v>1</v>
      </c>
    </row>
    <row r="730" spans="1:2">
      <c r="A730" t="s">
        <v>979</v>
      </c>
      <c r="B730">
        <v>1</v>
      </c>
    </row>
    <row r="731" spans="1:2">
      <c r="A731" t="s">
        <v>980</v>
      </c>
      <c r="B731">
        <v>1</v>
      </c>
    </row>
    <row r="732" spans="1:2">
      <c r="A732" t="s">
        <v>981</v>
      </c>
      <c r="B732">
        <v>1</v>
      </c>
    </row>
    <row r="733" spans="1:2">
      <c r="A733" t="s">
        <v>982</v>
      </c>
      <c r="B733">
        <v>1</v>
      </c>
    </row>
    <row r="734" spans="1:2">
      <c r="A734" t="s">
        <v>983</v>
      </c>
      <c r="B734">
        <v>1</v>
      </c>
    </row>
    <row r="735" spans="1:2">
      <c r="A735" t="s">
        <v>984</v>
      </c>
      <c r="B735">
        <v>1</v>
      </c>
    </row>
    <row r="736" spans="1:2">
      <c r="A736" t="s">
        <v>985</v>
      </c>
      <c r="B736">
        <v>1</v>
      </c>
    </row>
    <row r="737" spans="1:2">
      <c r="A737" t="s">
        <v>986</v>
      </c>
      <c r="B737">
        <v>1</v>
      </c>
    </row>
    <row r="738" spans="1:2">
      <c r="A738" t="s">
        <v>987</v>
      </c>
      <c r="B738">
        <v>1</v>
      </c>
    </row>
    <row r="739" spans="1:2">
      <c r="A739" t="s">
        <v>988</v>
      </c>
      <c r="B739">
        <v>1</v>
      </c>
    </row>
    <row r="740" spans="1:2">
      <c r="A740" t="s">
        <v>989</v>
      </c>
      <c r="B740">
        <v>1</v>
      </c>
    </row>
    <row r="741" spans="1:2">
      <c r="A741" t="s">
        <v>990</v>
      </c>
      <c r="B741">
        <v>1</v>
      </c>
    </row>
    <row r="742" spans="1:2">
      <c r="A742" t="s">
        <v>991</v>
      </c>
      <c r="B742">
        <v>1</v>
      </c>
    </row>
    <row r="743" spans="1:2">
      <c r="A743" t="s">
        <v>992</v>
      </c>
      <c r="B743">
        <v>1</v>
      </c>
    </row>
    <row r="744" spans="1:2">
      <c r="A744" t="s">
        <v>993</v>
      </c>
      <c r="B744">
        <v>1</v>
      </c>
    </row>
    <row r="745" spans="1:2">
      <c r="A745" t="s">
        <v>994</v>
      </c>
      <c r="B745">
        <v>1</v>
      </c>
    </row>
    <row r="746" spans="1:2">
      <c r="A746" t="s">
        <v>995</v>
      </c>
      <c r="B746">
        <v>1</v>
      </c>
    </row>
    <row r="747" spans="1:2">
      <c r="A747" t="s">
        <v>996</v>
      </c>
      <c r="B747">
        <v>1</v>
      </c>
    </row>
    <row r="748" spans="1:2">
      <c r="A748" t="s">
        <v>997</v>
      </c>
      <c r="B748">
        <v>1</v>
      </c>
    </row>
    <row r="749" spans="1:2">
      <c r="A749" t="s">
        <v>998</v>
      </c>
      <c r="B749">
        <v>1</v>
      </c>
    </row>
    <row r="750" spans="1:2">
      <c r="A750" t="s">
        <v>999</v>
      </c>
      <c r="B750">
        <v>1</v>
      </c>
    </row>
    <row r="751" spans="1:2">
      <c r="A751" t="s">
        <v>1000</v>
      </c>
      <c r="B751">
        <v>1</v>
      </c>
    </row>
    <row r="752" spans="1:2">
      <c r="A752" t="s">
        <v>1001</v>
      </c>
      <c r="B752">
        <v>1</v>
      </c>
    </row>
    <row r="753" spans="1:2">
      <c r="A753" t="s">
        <v>1002</v>
      </c>
      <c r="B753">
        <v>1</v>
      </c>
    </row>
    <row r="754" spans="1:2">
      <c r="A754" t="s">
        <v>1003</v>
      </c>
      <c r="B754">
        <v>1</v>
      </c>
    </row>
    <row r="755" spans="1:2">
      <c r="A755" t="s">
        <v>1004</v>
      </c>
      <c r="B755">
        <v>1</v>
      </c>
    </row>
    <row r="756" spans="1:2">
      <c r="A756" t="s">
        <v>1005</v>
      </c>
      <c r="B756">
        <v>1</v>
      </c>
    </row>
    <row r="757" spans="1:2">
      <c r="A757" t="s">
        <v>1006</v>
      </c>
      <c r="B757">
        <v>1</v>
      </c>
    </row>
    <row r="758" spans="1:2">
      <c r="A758" t="s">
        <v>1007</v>
      </c>
      <c r="B758">
        <v>1</v>
      </c>
    </row>
    <row r="759" spans="1:2">
      <c r="A759" t="s">
        <v>1008</v>
      </c>
      <c r="B759">
        <v>1</v>
      </c>
    </row>
    <row r="760" spans="1:2">
      <c r="A760" t="s">
        <v>1009</v>
      </c>
      <c r="B760">
        <v>1</v>
      </c>
    </row>
    <row r="761" spans="1:2">
      <c r="A761" t="s">
        <v>1010</v>
      </c>
      <c r="B761">
        <v>1</v>
      </c>
    </row>
    <row r="762" spans="1:2">
      <c r="A762" t="s">
        <v>1011</v>
      </c>
      <c r="B762">
        <v>1</v>
      </c>
    </row>
    <row r="763" spans="1:2">
      <c r="A763" t="s">
        <v>1012</v>
      </c>
      <c r="B763">
        <v>1</v>
      </c>
    </row>
    <row r="764" spans="1:2">
      <c r="A764" t="s">
        <v>1013</v>
      </c>
      <c r="B764">
        <v>1</v>
      </c>
    </row>
    <row r="765" spans="1:2">
      <c r="A765" t="s">
        <v>1014</v>
      </c>
      <c r="B765">
        <v>1</v>
      </c>
    </row>
    <row r="766" spans="1:2">
      <c r="A766" t="s">
        <v>1015</v>
      </c>
      <c r="B766">
        <v>1</v>
      </c>
    </row>
    <row r="767" spans="1:2">
      <c r="A767" t="s">
        <v>1016</v>
      </c>
      <c r="B767">
        <v>1</v>
      </c>
    </row>
    <row r="768" spans="1:2">
      <c r="A768" t="s">
        <v>1017</v>
      </c>
      <c r="B768">
        <v>1</v>
      </c>
    </row>
    <row r="769" spans="1:2">
      <c r="A769" t="s">
        <v>1018</v>
      </c>
      <c r="B769">
        <v>1</v>
      </c>
    </row>
    <row r="770" spans="1:2">
      <c r="A770" t="s">
        <v>1019</v>
      </c>
      <c r="B770">
        <v>1</v>
      </c>
    </row>
    <row r="771" spans="1:2">
      <c r="A771" t="s">
        <v>1020</v>
      </c>
      <c r="B771">
        <v>1</v>
      </c>
    </row>
    <row r="772" spans="1:2">
      <c r="A772" t="s">
        <v>1021</v>
      </c>
      <c r="B772">
        <v>1</v>
      </c>
    </row>
    <row r="773" spans="1:2">
      <c r="A773" t="s">
        <v>1022</v>
      </c>
      <c r="B773">
        <v>1</v>
      </c>
    </row>
    <row r="774" spans="1:2">
      <c r="A774" t="s">
        <v>1023</v>
      </c>
      <c r="B774">
        <v>1</v>
      </c>
    </row>
    <row r="775" spans="1:2">
      <c r="A775" t="s">
        <v>1024</v>
      </c>
      <c r="B775">
        <v>1</v>
      </c>
    </row>
    <row r="776" spans="1:2">
      <c r="A776" t="s">
        <v>1025</v>
      </c>
      <c r="B776">
        <v>1</v>
      </c>
    </row>
    <row r="777" spans="1:2">
      <c r="A777" t="s">
        <v>1026</v>
      </c>
      <c r="B777">
        <v>1</v>
      </c>
    </row>
    <row r="778" spans="1:2">
      <c r="A778" t="s">
        <v>1027</v>
      </c>
      <c r="B778">
        <v>1</v>
      </c>
    </row>
    <row r="779" spans="1:2">
      <c r="A779" t="s">
        <v>1028</v>
      </c>
      <c r="B779">
        <v>1</v>
      </c>
    </row>
    <row r="780" spans="1:2">
      <c r="A780" t="s">
        <v>1029</v>
      </c>
      <c r="B780">
        <v>1</v>
      </c>
    </row>
    <row r="781" spans="1:2">
      <c r="A781" t="s">
        <v>1030</v>
      </c>
      <c r="B781">
        <v>1</v>
      </c>
    </row>
    <row r="782" spans="1:2">
      <c r="A782" t="s">
        <v>1031</v>
      </c>
      <c r="B782">
        <v>1</v>
      </c>
    </row>
    <row r="783" spans="1:2">
      <c r="A783" t="s">
        <v>1032</v>
      </c>
      <c r="B783">
        <v>1</v>
      </c>
    </row>
    <row r="784" spans="1:2">
      <c r="A784" t="s">
        <v>1033</v>
      </c>
      <c r="B784">
        <v>1</v>
      </c>
    </row>
    <row r="785" spans="1:2">
      <c r="A785" t="s">
        <v>1034</v>
      </c>
      <c r="B785">
        <v>1</v>
      </c>
    </row>
    <row r="786" spans="1:2">
      <c r="A786" t="s">
        <v>1035</v>
      </c>
      <c r="B786">
        <v>1</v>
      </c>
    </row>
    <row r="787" spans="1:2">
      <c r="A787" t="s">
        <v>1036</v>
      </c>
      <c r="B787">
        <v>1</v>
      </c>
    </row>
    <row r="788" spans="1:2">
      <c r="A788" t="s">
        <v>1037</v>
      </c>
      <c r="B788">
        <v>1</v>
      </c>
    </row>
    <row r="789" spans="1:2">
      <c r="A789" t="s">
        <v>1038</v>
      </c>
      <c r="B789">
        <v>1</v>
      </c>
    </row>
    <row r="790" spans="1:2">
      <c r="A790" t="s">
        <v>1039</v>
      </c>
      <c r="B790">
        <v>1</v>
      </c>
    </row>
    <row r="791" spans="1:2">
      <c r="A791" t="s">
        <v>1040</v>
      </c>
      <c r="B791">
        <v>1</v>
      </c>
    </row>
    <row r="792" spans="1:2">
      <c r="A792" t="s">
        <v>1041</v>
      </c>
      <c r="B792">
        <v>1</v>
      </c>
    </row>
    <row r="793" spans="1:2">
      <c r="A793" t="s">
        <v>1042</v>
      </c>
      <c r="B793">
        <v>1</v>
      </c>
    </row>
    <row r="794" spans="1:2">
      <c r="A794" t="s">
        <v>1043</v>
      </c>
      <c r="B794">
        <v>1</v>
      </c>
    </row>
    <row r="795" spans="1:2">
      <c r="A795" t="s">
        <v>1044</v>
      </c>
      <c r="B795">
        <v>1</v>
      </c>
    </row>
    <row r="796" spans="1:2">
      <c r="A796" t="s">
        <v>1045</v>
      </c>
      <c r="B796">
        <v>1</v>
      </c>
    </row>
    <row r="797" spans="1:2">
      <c r="A797" t="s">
        <v>1046</v>
      </c>
      <c r="B797">
        <v>1</v>
      </c>
    </row>
    <row r="798" spans="1:2">
      <c r="A798" t="s">
        <v>1047</v>
      </c>
      <c r="B798">
        <v>1</v>
      </c>
    </row>
    <row r="799" spans="1:2">
      <c r="A799" t="s">
        <v>1048</v>
      </c>
      <c r="B799">
        <v>1</v>
      </c>
    </row>
    <row r="800" spans="1:2">
      <c r="A800" t="s">
        <v>1049</v>
      </c>
      <c r="B800">
        <v>1</v>
      </c>
    </row>
    <row r="801" spans="1:2">
      <c r="A801" t="s">
        <v>1050</v>
      </c>
      <c r="B801">
        <v>1</v>
      </c>
    </row>
    <row r="802" spans="1:2">
      <c r="A802" t="s">
        <v>1051</v>
      </c>
      <c r="B802">
        <v>1</v>
      </c>
    </row>
    <row r="803" spans="1:2">
      <c r="A803" t="s">
        <v>1052</v>
      </c>
      <c r="B803">
        <v>1</v>
      </c>
    </row>
    <row r="804" spans="1:2">
      <c r="A804" t="s">
        <v>1053</v>
      </c>
      <c r="B804">
        <v>1</v>
      </c>
    </row>
    <row r="805" spans="1:2">
      <c r="A805" t="s">
        <v>1054</v>
      </c>
      <c r="B805">
        <v>1</v>
      </c>
    </row>
    <row r="806" spans="1:2">
      <c r="A806" t="s">
        <v>1055</v>
      </c>
      <c r="B806">
        <v>1</v>
      </c>
    </row>
    <row r="807" spans="1:2">
      <c r="A807" t="s">
        <v>1056</v>
      </c>
      <c r="B807">
        <v>1</v>
      </c>
    </row>
    <row r="808" spans="1:2">
      <c r="A808" t="s">
        <v>1057</v>
      </c>
      <c r="B808">
        <v>1</v>
      </c>
    </row>
    <row r="809" spans="1:2">
      <c r="A809" t="s">
        <v>1058</v>
      </c>
      <c r="B809">
        <v>1</v>
      </c>
    </row>
    <row r="810" spans="1:2">
      <c r="A810" t="s">
        <v>1059</v>
      </c>
      <c r="B810">
        <v>1</v>
      </c>
    </row>
    <row r="811" spans="1:2">
      <c r="A811" t="s">
        <v>1060</v>
      </c>
      <c r="B811">
        <v>1</v>
      </c>
    </row>
    <row r="812" spans="1:2">
      <c r="A812" t="s">
        <v>1061</v>
      </c>
      <c r="B812">
        <v>1</v>
      </c>
    </row>
    <row r="813" spans="1:2">
      <c r="A813" t="s">
        <v>1062</v>
      </c>
      <c r="B813">
        <v>1</v>
      </c>
    </row>
    <row r="814" spans="1:2">
      <c r="A814" t="s">
        <v>1063</v>
      </c>
      <c r="B814">
        <v>1</v>
      </c>
    </row>
    <row r="815" spans="1:2">
      <c r="A815" t="s">
        <v>1064</v>
      </c>
      <c r="B815">
        <v>1</v>
      </c>
    </row>
    <row r="816" spans="1:2">
      <c r="A816" t="s">
        <v>1065</v>
      </c>
      <c r="B816">
        <v>1</v>
      </c>
    </row>
    <row r="817" spans="1:2">
      <c r="A817" t="s">
        <v>1066</v>
      </c>
      <c r="B817">
        <v>1</v>
      </c>
    </row>
    <row r="818" spans="1:2">
      <c r="A818" t="s">
        <v>1067</v>
      </c>
      <c r="B818">
        <v>1</v>
      </c>
    </row>
    <row r="819" spans="1:2">
      <c r="A819" t="s">
        <v>1068</v>
      </c>
      <c r="B819">
        <v>1</v>
      </c>
    </row>
    <row r="820" spans="1:2">
      <c r="A820" t="s">
        <v>1069</v>
      </c>
      <c r="B820">
        <v>1</v>
      </c>
    </row>
    <row r="821" spans="1:2">
      <c r="A821" t="s">
        <v>1070</v>
      </c>
      <c r="B821">
        <v>1</v>
      </c>
    </row>
    <row r="822" spans="1:2">
      <c r="A822" t="s">
        <v>1071</v>
      </c>
      <c r="B822">
        <v>1</v>
      </c>
    </row>
    <row r="823" spans="1:2">
      <c r="A823" t="s">
        <v>1072</v>
      </c>
      <c r="B823">
        <v>1</v>
      </c>
    </row>
    <row r="824" spans="1:2">
      <c r="A824" t="s">
        <v>1073</v>
      </c>
      <c r="B824">
        <v>1</v>
      </c>
    </row>
    <row r="825" spans="1:2">
      <c r="A825" t="s">
        <v>1074</v>
      </c>
      <c r="B825">
        <v>1</v>
      </c>
    </row>
    <row r="826" spans="1:2">
      <c r="A826" t="s">
        <v>1075</v>
      </c>
      <c r="B826">
        <v>1</v>
      </c>
    </row>
    <row r="827" spans="1:2">
      <c r="A827" t="s">
        <v>1076</v>
      </c>
      <c r="B827">
        <v>1</v>
      </c>
    </row>
    <row r="828" spans="1:2">
      <c r="A828" t="s">
        <v>1077</v>
      </c>
      <c r="B828">
        <v>1</v>
      </c>
    </row>
    <row r="829" spans="1:2">
      <c r="A829" t="s">
        <v>1078</v>
      </c>
      <c r="B829">
        <v>1</v>
      </c>
    </row>
    <row r="830" spans="1:2">
      <c r="A830" t="s">
        <v>1079</v>
      </c>
      <c r="B830">
        <v>1</v>
      </c>
    </row>
    <row r="831" spans="1:2">
      <c r="A831" t="s">
        <v>1080</v>
      </c>
      <c r="B831">
        <v>1</v>
      </c>
    </row>
    <row r="832" spans="1:2">
      <c r="A832" t="s">
        <v>1081</v>
      </c>
      <c r="B832">
        <v>1</v>
      </c>
    </row>
    <row r="833" spans="1:2">
      <c r="A833" t="s">
        <v>1082</v>
      </c>
      <c r="B833">
        <v>1</v>
      </c>
    </row>
    <row r="834" spans="1:2">
      <c r="A834" t="s">
        <v>1083</v>
      </c>
      <c r="B834">
        <v>1</v>
      </c>
    </row>
    <row r="835" spans="1:2">
      <c r="A835" t="s">
        <v>1084</v>
      </c>
      <c r="B835">
        <v>1</v>
      </c>
    </row>
    <row r="836" spans="1:2">
      <c r="A836" t="s">
        <v>1085</v>
      </c>
      <c r="B836">
        <v>1</v>
      </c>
    </row>
    <row r="837" spans="1:2">
      <c r="A837" t="s">
        <v>1086</v>
      </c>
      <c r="B837">
        <v>1</v>
      </c>
    </row>
    <row r="838" spans="1:2">
      <c r="A838" t="s">
        <v>1087</v>
      </c>
      <c r="B838">
        <v>1</v>
      </c>
    </row>
    <row r="839" spans="1:2">
      <c r="A839" t="s">
        <v>1088</v>
      </c>
      <c r="B839">
        <v>1</v>
      </c>
    </row>
    <row r="840" spans="1:2">
      <c r="A840" t="s">
        <v>1089</v>
      </c>
      <c r="B840">
        <v>1</v>
      </c>
    </row>
    <row r="841" spans="1:2">
      <c r="A841" t="s">
        <v>1090</v>
      </c>
      <c r="B841">
        <v>1</v>
      </c>
    </row>
    <row r="842" spans="1:2">
      <c r="A842" t="s">
        <v>1091</v>
      </c>
      <c r="B842">
        <v>1</v>
      </c>
    </row>
    <row r="843" spans="1:2">
      <c r="A843" t="s">
        <v>1092</v>
      </c>
      <c r="B843">
        <v>1</v>
      </c>
    </row>
    <row r="844" spans="1:2">
      <c r="A844" t="s">
        <v>1093</v>
      </c>
      <c r="B844">
        <v>1</v>
      </c>
    </row>
    <row r="845" spans="1:2">
      <c r="A845" t="s">
        <v>1094</v>
      </c>
      <c r="B845">
        <v>1</v>
      </c>
    </row>
    <row r="846" spans="1:2">
      <c r="A846" t="s">
        <v>1095</v>
      </c>
      <c r="B846">
        <v>1</v>
      </c>
    </row>
    <row r="847" spans="1:2">
      <c r="A847" t="s">
        <v>1096</v>
      </c>
      <c r="B847">
        <v>1</v>
      </c>
    </row>
    <row r="848" spans="1:2">
      <c r="A848" t="s">
        <v>1097</v>
      </c>
      <c r="B848">
        <v>1</v>
      </c>
    </row>
    <row r="849" spans="1:2">
      <c r="A849" t="s">
        <v>1098</v>
      </c>
      <c r="B849">
        <v>1</v>
      </c>
    </row>
    <row r="850" spans="1:2">
      <c r="A850" t="s">
        <v>1099</v>
      </c>
      <c r="B850">
        <v>1</v>
      </c>
    </row>
    <row r="851" spans="1:2">
      <c r="A851" t="s">
        <v>1100</v>
      </c>
      <c r="B851">
        <v>1</v>
      </c>
    </row>
    <row r="852" spans="1:2">
      <c r="A852" t="s">
        <v>1101</v>
      </c>
      <c r="B852">
        <v>1</v>
      </c>
    </row>
    <row r="853" spans="1:2">
      <c r="A853" t="s">
        <v>1102</v>
      </c>
      <c r="B853">
        <v>1</v>
      </c>
    </row>
    <row r="854" spans="1:2">
      <c r="A854" t="s">
        <v>1103</v>
      </c>
      <c r="B854">
        <v>1</v>
      </c>
    </row>
    <row r="855" spans="1:2">
      <c r="A855" t="s">
        <v>1104</v>
      </c>
      <c r="B855">
        <v>1</v>
      </c>
    </row>
    <row r="856" spans="1:2">
      <c r="A856" t="s">
        <v>1105</v>
      </c>
      <c r="B856">
        <v>1</v>
      </c>
    </row>
    <row r="857" spans="1:2">
      <c r="A857" t="s">
        <v>1107</v>
      </c>
      <c r="B857">
        <v>1</v>
      </c>
    </row>
    <row r="858" spans="1:2">
      <c r="A858" t="s">
        <v>1108</v>
      </c>
      <c r="B858">
        <v>1</v>
      </c>
    </row>
    <row r="859" spans="1:2">
      <c r="A859" t="s">
        <v>1109</v>
      </c>
      <c r="B859">
        <v>1</v>
      </c>
    </row>
    <row r="860" spans="1:2">
      <c r="A860" t="s">
        <v>1110</v>
      </c>
      <c r="B860">
        <v>1</v>
      </c>
    </row>
    <row r="861" spans="1:2">
      <c r="A861" t="s">
        <v>1111</v>
      </c>
      <c r="B861">
        <v>1</v>
      </c>
    </row>
    <row r="862" spans="1:2">
      <c r="A862" t="s">
        <v>1112</v>
      </c>
      <c r="B862">
        <v>1</v>
      </c>
    </row>
    <row r="863" spans="1:2">
      <c r="A863" t="s">
        <v>1113</v>
      </c>
      <c r="B863">
        <v>1</v>
      </c>
    </row>
    <row r="864" spans="1:2">
      <c r="A864" t="s">
        <v>1114</v>
      </c>
      <c r="B864">
        <v>1</v>
      </c>
    </row>
    <row r="865" spans="1:2">
      <c r="A865" t="s">
        <v>1115</v>
      </c>
      <c r="B865">
        <v>1</v>
      </c>
    </row>
    <row r="866" spans="1:2">
      <c r="A866" t="s">
        <v>1116</v>
      </c>
      <c r="B866">
        <v>1</v>
      </c>
    </row>
    <row r="867" spans="1:2">
      <c r="A867" t="s">
        <v>1117</v>
      </c>
      <c r="B867">
        <v>1</v>
      </c>
    </row>
    <row r="868" spans="1:2">
      <c r="A868" t="s">
        <v>1119</v>
      </c>
      <c r="B868">
        <v>1</v>
      </c>
    </row>
    <row r="869" spans="1:2">
      <c r="A869" t="s">
        <v>1120</v>
      </c>
      <c r="B869">
        <v>1</v>
      </c>
    </row>
    <row r="870" spans="1:2">
      <c r="A870" t="s">
        <v>1121</v>
      </c>
      <c r="B870">
        <v>1</v>
      </c>
    </row>
    <row r="871" spans="1:2">
      <c r="A871" t="s">
        <v>1122</v>
      </c>
      <c r="B871">
        <v>1</v>
      </c>
    </row>
    <row r="872" spans="1:2">
      <c r="A872" t="s">
        <v>1123</v>
      </c>
      <c r="B872">
        <v>1</v>
      </c>
    </row>
    <row r="873" spans="1:2">
      <c r="A873" t="s">
        <v>1124</v>
      </c>
      <c r="B873">
        <v>1</v>
      </c>
    </row>
    <row r="874" spans="1:2">
      <c r="A874" t="s">
        <v>1125</v>
      </c>
      <c r="B874">
        <v>1</v>
      </c>
    </row>
    <row r="875" spans="1:2">
      <c r="A875" t="s">
        <v>1126</v>
      </c>
      <c r="B875">
        <v>1</v>
      </c>
    </row>
    <row r="876" spans="1:2">
      <c r="A876" t="s">
        <v>1127</v>
      </c>
      <c r="B876">
        <v>1</v>
      </c>
    </row>
    <row r="877" spans="1:2">
      <c r="A877" t="s">
        <v>1128</v>
      </c>
      <c r="B877">
        <v>1</v>
      </c>
    </row>
    <row r="878" spans="1:2">
      <c r="A878" t="s">
        <v>1129</v>
      </c>
      <c r="B878">
        <v>1</v>
      </c>
    </row>
    <row r="879" spans="1:2">
      <c r="A879" t="s">
        <v>1130</v>
      </c>
      <c r="B879">
        <v>1</v>
      </c>
    </row>
    <row r="880" spans="1:2">
      <c r="A880" t="s">
        <v>1131</v>
      </c>
      <c r="B880">
        <v>1</v>
      </c>
    </row>
    <row r="881" spans="1:2">
      <c r="A881" t="s">
        <v>1132</v>
      </c>
      <c r="B881">
        <v>1</v>
      </c>
    </row>
    <row r="882" spans="1:2">
      <c r="A882" t="s">
        <v>1133</v>
      </c>
      <c r="B882">
        <v>1</v>
      </c>
    </row>
    <row r="883" spans="1:2">
      <c r="A883" t="s">
        <v>1134</v>
      </c>
      <c r="B883">
        <v>1</v>
      </c>
    </row>
    <row r="884" spans="1:2">
      <c r="A884" t="s">
        <v>1135</v>
      </c>
      <c r="B884">
        <v>1</v>
      </c>
    </row>
    <row r="885" spans="1:2">
      <c r="A885" t="s">
        <v>1136</v>
      </c>
      <c r="B885">
        <v>1</v>
      </c>
    </row>
    <row r="886" spans="1:2">
      <c r="A886" t="s">
        <v>1137</v>
      </c>
      <c r="B886">
        <v>1</v>
      </c>
    </row>
    <row r="887" spans="1:2">
      <c r="A887" t="s">
        <v>1138</v>
      </c>
      <c r="B887">
        <v>1</v>
      </c>
    </row>
    <row r="888" spans="1:2">
      <c r="A888" t="s">
        <v>1139</v>
      </c>
      <c r="B888">
        <v>1</v>
      </c>
    </row>
    <row r="889" spans="1:2">
      <c r="A889" t="s">
        <v>1140</v>
      </c>
      <c r="B889">
        <v>1</v>
      </c>
    </row>
    <row r="890" spans="1:2">
      <c r="A890" t="s">
        <v>1141</v>
      </c>
      <c r="B890">
        <v>1</v>
      </c>
    </row>
    <row r="891" spans="1:2">
      <c r="A891" t="s">
        <v>1142</v>
      </c>
      <c r="B891">
        <v>1</v>
      </c>
    </row>
    <row r="892" spans="1:2">
      <c r="A892" t="s">
        <v>1143</v>
      </c>
      <c r="B892">
        <v>1</v>
      </c>
    </row>
    <row r="893" spans="1:2">
      <c r="A893" t="s">
        <v>1144</v>
      </c>
      <c r="B893">
        <v>1</v>
      </c>
    </row>
    <row r="894" spans="1:2">
      <c r="A894" t="s">
        <v>1145</v>
      </c>
      <c r="B894">
        <v>1</v>
      </c>
    </row>
    <row r="895" spans="1:2">
      <c r="A895" t="s">
        <v>1146</v>
      </c>
      <c r="B895">
        <v>1</v>
      </c>
    </row>
    <row r="896" spans="1:2">
      <c r="A896" t="s">
        <v>1147</v>
      </c>
      <c r="B896">
        <v>1</v>
      </c>
    </row>
    <row r="897" spans="1:2">
      <c r="A897" t="s">
        <v>1148</v>
      </c>
      <c r="B897">
        <v>1</v>
      </c>
    </row>
    <row r="898" spans="1:2">
      <c r="A898" t="s">
        <v>1149</v>
      </c>
      <c r="B898">
        <v>1</v>
      </c>
    </row>
    <row r="899" spans="1:2">
      <c r="A899" t="s">
        <v>1150</v>
      </c>
      <c r="B899">
        <v>1</v>
      </c>
    </row>
    <row r="900" spans="1:2">
      <c r="A900" t="s">
        <v>1151</v>
      </c>
      <c r="B900">
        <v>1</v>
      </c>
    </row>
    <row r="901" spans="1:2">
      <c r="A901" t="s">
        <v>1152</v>
      </c>
      <c r="B901">
        <v>1</v>
      </c>
    </row>
    <row r="902" spans="1:2">
      <c r="A902" t="s">
        <v>1153</v>
      </c>
      <c r="B902">
        <v>1</v>
      </c>
    </row>
    <row r="903" spans="1:2">
      <c r="A903" t="s">
        <v>1154</v>
      </c>
      <c r="B903">
        <v>1</v>
      </c>
    </row>
    <row r="904" spans="1:2">
      <c r="A904" t="s">
        <v>1155</v>
      </c>
      <c r="B904">
        <v>1</v>
      </c>
    </row>
    <row r="905" spans="1:2">
      <c r="A905" t="s">
        <v>1156</v>
      </c>
      <c r="B905">
        <v>1</v>
      </c>
    </row>
    <row r="906" spans="1:2">
      <c r="A906" t="s">
        <v>1157</v>
      </c>
      <c r="B906">
        <v>1</v>
      </c>
    </row>
    <row r="907" spans="1:2">
      <c r="A907" t="s">
        <v>1158</v>
      </c>
      <c r="B907">
        <v>1</v>
      </c>
    </row>
    <row r="908" spans="1:2">
      <c r="A908" t="s">
        <v>1159</v>
      </c>
      <c r="B908">
        <v>1</v>
      </c>
    </row>
    <row r="909" spans="1:2">
      <c r="A909" t="s">
        <v>1160</v>
      </c>
      <c r="B909">
        <v>1</v>
      </c>
    </row>
    <row r="910" spans="1:2">
      <c r="A910" t="s">
        <v>1161</v>
      </c>
      <c r="B910">
        <v>1</v>
      </c>
    </row>
    <row r="911" spans="1:2">
      <c r="A911" t="s">
        <v>1162</v>
      </c>
      <c r="B911">
        <v>1</v>
      </c>
    </row>
    <row r="912" spans="1:2">
      <c r="A912" t="s">
        <v>1163</v>
      </c>
      <c r="B912">
        <v>1</v>
      </c>
    </row>
    <row r="913" spans="1:2">
      <c r="A913" t="s">
        <v>1164</v>
      </c>
      <c r="B913">
        <v>1</v>
      </c>
    </row>
    <row r="914" spans="1:2">
      <c r="A914" t="s">
        <v>1165</v>
      </c>
      <c r="B914">
        <v>1</v>
      </c>
    </row>
    <row r="915" spans="1:2">
      <c r="A915" t="s">
        <v>1166</v>
      </c>
      <c r="B915">
        <v>1</v>
      </c>
    </row>
    <row r="916" spans="1:2">
      <c r="A916" t="s">
        <v>1167</v>
      </c>
      <c r="B916">
        <v>1</v>
      </c>
    </row>
    <row r="917" spans="1:2">
      <c r="A917" t="s">
        <v>1168</v>
      </c>
      <c r="B917">
        <v>1</v>
      </c>
    </row>
    <row r="918" spans="1:2">
      <c r="A918" t="s">
        <v>1169</v>
      </c>
      <c r="B918">
        <v>1</v>
      </c>
    </row>
    <row r="919" spans="1:2">
      <c r="A919" t="s">
        <v>1170</v>
      </c>
      <c r="B919">
        <v>1</v>
      </c>
    </row>
    <row r="920" spans="1:2">
      <c r="A920" t="s">
        <v>1171</v>
      </c>
      <c r="B920">
        <v>1</v>
      </c>
    </row>
    <row r="921" spans="1:2">
      <c r="A921" t="s">
        <v>1172</v>
      </c>
      <c r="B921">
        <v>1</v>
      </c>
    </row>
    <row r="922" spans="1:2">
      <c r="A922" t="s">
        <v>1173</v>
      </c>
      <c r="B922">
        <v>1</v>
      </c>
    </row>
    <row r="923" spans="1:2">
      <c r="A923" t="s">
        <v>1174</v>
      </c>
      <c r="B923">
        <v>1</v>
      </c>
    </row>
    <row r="924" spans="1:2">
      <c r="A924" t="s">
        <v>1175</v>
      </c>
      <c r="B924">
        <v>1</v>
      </c>
    </row>
    <row r="925" spans="1:2">
      <c r="A925" t="s">
        <v>1176</v>
      </c>
      <c r="B925">
        <v>1</v>
      </c>
    </row>
    <row r="926" spans="1:2">
      <c r="A926" t="s">
        <v>1177</v>
      </c>
      <c r="B926">
        <v>1</v>
      </c>
    </row>
    <row r="927" spans="1:2">
      <c r="A927" t="s">
        <v>1178</v>
      </c>
      <c r="B927">
        <v>1</v>
      </c>
    </row>
    <row r="928" spans="1:2">
      <c r="A928" t="s">
        <v>1179</v>
      </c>
      <c r="B928">
        <v>1</v>
      </c>
    </row>
    <row r="929" spans="1:2">
      <c r="A929" t="s">
        <v>1180</v>
      </c>
      <c r="B929">
        <v>1</v>
      </c>
    </row>
    <row r="930" spans="1:2">
      <c r="A930" t="s">
        <v>1181</v>
      </c>
      <c r="B930">
        <v>1</v>
      </c>
    </row>
    <row r="931" spans="1:2">
      <c r="A931" t="s">
        <v>1182</v>
      </c>
      <c r="B931">
        <v>1</v>
      </c>
    </row>
    <row r="932" spans="1:2">
      <c r="A932" t="s">
        <v>1183</v>
      </c>
      <c r="B932">
        <v>1</v>
      </c>
    </row>
    <row r="933" spans="1:2">
      <c r="A933" t="s">
        <v>1184</v>
      </c>
      <c r="B933">
        <v>1</v>
      </c>
    </row>
    <row r="934" spans="1:2">
      <c r="A934" t="s">
        <v>1185</v>
      </c>
      <c r="B934">
        <v>1</v>
      </c>
    </row>
    <row r="935" spans="1:2">
      <c r="A935" t="s">
        <v>1186</v>
      </c>
      <c r="B935">
        <v>1</v>
      </c>
    </row>
    <row r="936" spans="1:2">
      <c r="A936" t="s">
        <v>1187</v>
      </c>
      <c r="B936">
        <v>1</v>
      </c>
    </row>
    <row r="937" spans="1:2">
      <c r="A937" t="s">
        <v>1188</v>
      </c>
      <c r="B937">
        <v>1</v>
      </c>
    </row>
    <row r="938" spans="1:2">
      <c r="A938" t="s">
        <v>1189</v>
      </c>
      <c r="B938">
        <v>1</v>
      </c>
    </row>
    <row r="939" spans="1:2">
      <c r="A939" t="s">
        <v>1190</v>
      </c>
      <c r="B939">
        <v>1</v>
      </c>
    </row>
    <row r="940" spans="1:2">
      <c r="A940" t="s">
        <v>1191</v>
      </c>
      <c r="B940">
        <v>1</v>
      </c>
    </row>
    <row r="941" spans="1:2">
      <c r="A941" t="s">
        <v>1192</v>
      </c>
      <c r="B941">
        <v>1</v>
      </c>
    </row>
    <row r="942" spans="1:2">
      <c r="A942" t="s">
        <v>1193</v>
      </c>
      <c r="B942">
        <v>1</v>
      </c>
    </row>
    <row r="943" spans="1:2">
      <c r="A943" t="s">
        <v>1194</v>
      </c>
      <c r="B943">
        <v>1</v>
      </c>
    </row>
    <row r="944" spans="1:2">
      <c r="A944" t="s">
        <v>1196</v>
      </c>
      <c r="B944">
        <v>1</v>
      </c>
    </row>
    <row r="945" spans="1:2">
      <c r="A945" t="s">
        <v>1197</v>
      </c>
      <c r="B945">
        <v>1</v>
      </c>
    </row>
    <row r="946" spans="1:2">
      <c r="A946" t="s">
        <v>1198</v>
      </c>
      <c r="B946">
        <v>1</v>
      </c>
    </row>
    <row r="947" spans="1:2">
      <c r="A947" t="s">
        <v>1199</v>
      </c>
      <c r="B947">
        <v>1</v>
      </c>
    </row>
    <row r="948" spans="1:2">
      <c r="A948" t="s">
        <v>1200</v>
      </c>
      <c r="B948">
        <v>1</v>
      </c>
    </row>
    <row r="949" spans="1:2">
      <c r="A949" t="s">
        <v>1201</v>
      </c>
      <c r="B949">
        <v>1</v>
      </c>
    </row>
    <row r="950" spans="1:2">
      <c r="A950" t="s">
        <v>1202</v>
      </c>
      <c r="B950">
        <v>1</v>
      </c>
    </row>
    <row r="951" spans="1:2">
      <c r="A951" t="s">
        <v>1203</v>
      </c>
      <c r="B951">
        <v>1</v>
      </c>
    </row>
    <row r="952" spans="1:2">
      <c r="A952" t="s">
        <v>1204</v>
      </c>
      <c r="B952">
        <v>1</v>
      </c>
    </row>
    <row r="953" spans="1:2">
      <c r="A953" t="s">
        <v>1205</v>
      </c>
      <c r="B953">
        <v>1</v>
      </c>
    </row>
    <row r="954" spans="1:2">
      <c r="A954" t="s">
        <v>1206</v>
      </c>
      <c r="B954">
        <v>1</v>
      </c>
    </row>
    <row r="955" spans="1:2">
      <c r="A955" t="s">
        <v>1207</v>
      </c>
      <c r="B955">
        <v>1</v>
      </c>
    </row>
    <row r="956" spans="1:2">
      <c r="A956" t="s">
        <v>1208</v>
      </c>
      <c r="B956">
        <v>1</v>
      </c>
    </row>
    <row r="957" spans="1:2">
      <c r="A957" t="s">
        <v>1209</v>
      </c>
      <c r="B957">
        <v>1</v>
      </c>
    </row>
    <row r="958" spans="1:2">
      <c r="A958" t="s">
        <v>1210</v>
      </c>
      <c r="B958">
        <v>1</v>
      </c>
    </row>
    <row r="959" spans="1:2">
      <c r="A959" t="s">
        <v>1211</v>
      </c>
      <c r="B959">
        <v>1</v>
      </c>
    </row>
    <row r="960" spans="1:2">
      <c r="A960" t="s">
        <v>1212</v>
      </c>
      <c r="B960">
        <v>1</v>
      </c>
    </row>
    <row r="961" spans="1:2">
      <c r="A961" t="s">
        <v>1213</v>
      </c>
      <c r="B961">
        <v>1</v>
      </c>
    </row>
    <row r="962" spans="1:2">
      <c r="A962" t="s">
        <v>1214</v>
      </c>
      <c r="B962">
        <v>1</v>
      </c>
    </row>
    <row r="963" spans="1:2">
      <c r="A963" t="s">
        <v>1215</v>
      </c>
      <c r="B963">
        <v>1</v>
      </c>
    </row>
    <row r="964" spans="1:2">
      <c r="A964" t="s">
        <v>1216</v>
      </c>
      <c r="B964">
        <v>1</v>
      </c>
    </row>
    <row r="965" spans="1:2">
      <c r="A965" t="s">
        <v>1217</v>
      </c>
      <c r="B965">
        <v>1</v>
      </c>
    </row>
    <row r="966" spans="1:2">
      <c r="A966" t="s">
        <v>1218</v>
      </c>
      <c r="B966">
        <v>1</v>
      </c>
    </row>
    <row r="967" spans="1:2">
      <c r="A967" t="s">
        <v>1219</v>
      </c>
      <c r="B967">
        <v>1</v>
      </c>
    </row>
    <row r="968" spans="1:2">
      <c r="A968" t="s">
        <v>1220</v>
      </c>
      <c r="B968">
        <v>1</v>
      </c>
    </row>
    <row r="969" spans="1:2">
      <c r="A969" t="s">
        <v>1221</v>
      </c>
      <c r="B969">
        <v>1</v>
      </c>
    </row>
    <row r="970" spans="1:2">
      <c r="A970" t="s">
        <v>1222</v>
      </c>
      <c r="B970">
        <v>1</v>
      </c>
    </row>
    <row r="971" spans="1:2">
      <c r="A971" t="s">
        <v>1223</v>
      </c>
      <c r="B971">
        <v>1</v>
      </c>
    </row>
    <row r="972" spans="1:2">
      <c r="A972" t="s">
        <v>1224</v>
      </c>
      <c r="B972">
        <v>1</v>
      </c>
    </row>
    <row r="973" spans="1:2">
      <c r="A973" t="s">
        <v>1225</v>
      </c>
      <c r="B973">
        <v>1</v>
      </c>
    </row>
    <row r="974" spans="1:2">
      <c r="A974" t="s">
        <v>1226</v>
      </c>
      <c r="B974">
        <v>1</v>
      </c>
    </row>
    <row r="975" spans="1:2">
      <c r="A975" t="s">
        <v>1227</v>
      </c>
      <c r="B975">
        <v>1</v>
      </c>
    </row>
    <row r="976" spans="1:2">
      <c r="A976" t="s">
        <v>1228</v>
      </c>
      <c r="B976">
        <v>1</v>
      </c>
    </row>
    <row r="977" spans="1:2">
      <c r="A977" t="s">
        <v>1229</v>
      </c>
      <c r="B977">
        <v>1</v>
      </c>
    </row>
    <row r="978" spans="1:2">
      <c r="A978" t="s">
        <v>1230</v>
      </c>
      <c r="B978">
        <v>1</v>
      </c>
    </row>
    <row r="979" spans="1:2">
      <c r="A979" t="s">
        <v>1231</v>
      </c>
      <c r="B979">
        <v>1</v>
      </c>
    </row>
    <row r="980" spans="1:2">
      <c r="A980" t="s">
        <v>1232</v>
      </c>
      <c r="B980">
        <v>1</v>
      </c>
    </row>
    <row r="981" spans="1:2">
      <c r="A981" t="s">
        <v>1233</v>
      </c>
      <c r="B981">
        <v>1</v>
      </c>
    </row>
    <row r="982" spans="1:2">
      <c r="A982" t="s">
        <v>1234</v>
      </c>
      <c r="B982">
        <v>1</v>
      </c>
    </row>
    <row r="983" spans="1:2">
      <c r="A983" t="s">
        <v>1235</v>
      </c>
      <c r="B983">
        <v>1</v>
      </c>
    </row>
    <row r="984" spans="1:2">
      <c r="A984" t="s">
        <v>1236</v>
      </c>
      <c r="B984">
        <v>1</v>
      </c>
    </row>
    <row r="985" spans="1:2">
      <c r="A985" t="s">
        <v>1237</v>
      </c>
      <c r="B985">
        <v>1</v>
      </c>
    </row>
    <row r="986" spans="1:2">
      <c r="A986" t="s">
        <v>1238</v>
      </c>
      <c r="B986">
        <v>1</v>
      </c>
    </row>
    <row r="987" spans="1:2">
      <c r="A987" t="s">
        <v>1239</v>
      </c>
      <c r="B987">
        <v>1</v>
      </c>
    </row>
    <row r="988" spans="1:2">
      <c r="A988" t="s">
        <v>1240</v>
      </c>
      <c r="B988">
        <v>1</v>
      </c>
    </row>
    <row r="989" spans="1:2">
      <c r="A989" t="s">
        <v>1241</v>
      </c>
      <c r="B989">
        <v>1</v>
      </c>
    </row>
    <row r="990" spans="1:2">
      <c r="A990" t="s">
        <v>1242</v>
      </c>
      <c r="B990">
        <v>1</v>
      </c>
    </row>
    <row r="991" spans="1:2">
      <c r="A991" t="s">
        <v>1243</v>
      </c>
      <c r="B991">
        <v>1</v>
      </c>
    </row>
    <row r="992" spans="1:2">
      <c r="A992" t="s">
        <v>1244</v>
      </c>
      <c r="B992">
        <v>1</v>
      </c>
    </row>
    <row r="993" spans="1:2">
      <c r="A993" t="s">
        <v>1245</v>
      </c>
      <c r="B993">
        <v>1</v>
      </c>
    </row>
    <row r="994" spans="1:2">
      <c r="A994" t="s">
        <v>1246</v>
      </c>
      <c r="B994">
        <v>1</v>
      </c>
    </row>
    <row r="995" spans="1:2">
      <c r="A995" t="s">
        <v>1247</v>
      </c>
      <c r="B995">
        <v>1</v>
      </c>
    </row>
    <row r="996" spans="1:2">
      <c r="A996" t="s">
        <v>1248</v>
      </c>
      <c r="B996">
        <v>1</v>
      </c>
    </row>
    <row r="997" spans="1:2">
      <c r="A997" t="s">
        <v>1249</v>
      </c>
      <c r="B997">
        <v>1</v>
      </c>
    </row>
    <row r="998" spans="1:2">
      <c r="A998" t="s">
        <v>1250</v>
      </c>
      <c r="B998">
        <v>1</v>
      </c>
    </row>
    <row r="999" spans="1:2">
      <c r="A999" t="s">
        <v>1251</v>
      </c>
      <c r="B999">
        <v>1</v>
      </c>
    </row>
    <row r="1000" spans="1:2">
      <c r="A1000" t="s">
        <v>1252</v>
      </c>
      <c r="B1000">
        <v>1</v>
      </c>
    </row>
    <row r="1001" spans="1:2">
      <c r="A1001" t="s">
        <v>1253</v>
      </c>
      <c r="B1001">
        <v>1</v>
      </c>
    </row>
    <row r="1002" spans="1:2">
      <c r="A1002" t="s">
        <v>33</v>
      </c>
      <c r="B1002">
        <v>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90" zoomScaleNormal="90" workbookViewId="0">
      <selection activeCell="D9" sqref="D9"/>
    </sheetView>
  </sheetViews>
  <sheetFormatPr defaultColWidth="8.88888888888889" defaultRowHeight="14.4" outlineLevelRow="5" outlineLevelCol="1"/>
  <cols>
    <col min="1" max="1" width="18.1111111111111" customWidth="1"/>
    <col min="2" max="2" width="23.5555555555556" customWidth="1"/>
    <col min="3" max="3" width="22.6666666666667" customWidth="1"/>
    <col min="4" max="4" width="17.8888888888889" customWidth="1"/>
    <col min="5" max="5" width="13.5555555555556" customWidth="1"/>
    <col min="6" max="6" width="36.6666666666667" customWidth="1"/>
    <col min="7" max="7" width="24.1111111111111" customWidth="1"/>
  </cols>
  <sheetData>
    <row r="1" spans="1:2">
      <c r="A1" t="s">
        <v>1256</v>
      </c>
      <c r="B1">
        <f>COUNTA(Payments_Data[Transaction_ID])</f>
        <v>1000</v>
      </c>
    </row>
    <row r="2" spans="1:2">
      <c r="A2" t="s">
        <v>1257</v>
      </c>
      <c r="B2">
        <f>SUM(Payments_Data[Amount])</f>
        <v>325947.29</v>
      </c>
    </row>
    <row r="3" spans="1:2">
      <c r="A3" t="s">
        <v>1258</v>
      </c>
      <c r="B3">
        <f>AVERAGE(Payments_Data[Amount])</f>
        <v>325.94729</v>
      </c>
    </row>
    <row r="4" spans="1:2">
      <c r="A4" t="s">
        <v>1259</v>
      </c>
      <c r="B4">
        <f>COUNTIF(Payments_Data[Fraud_Flag],1)</f>
        <v>117</v>
      </c>
    </row>
    <row r="5" spans="1:2">
      <c r="A5" t="s">
        <v>1260</v>
      </c>
      <c r="B5">
        <f>SUMIF(Payments_Data[Fraud_Flag],1,Payments_Data[Amount])</f>
        <v>37208.41</v>
      </c>
    </row>
    <row r="6" spans="1:2">
      <c r="A6" t="s">
        <v>1261</v>
      </c>
      <c r="B6" s="1">
        <f>B5/B2</f>
        <v>0.114154684335618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Location Analysis</vt:lpstr>
      <vt:lpstr>Device Analysis</vt:lpstr>
      <vt:lpstr>Merchant Analysis</vt:lpstr>
      <vt:lpstr>Time Perod Analysis</vt:lpstr>
      <vt:lpstr>Payment Method </vt:lpstr>
      <vt:lpstr>digital_payments_fraud_analytic</vt:lpstr>
      <vt:lpstr>Statistical chart</vt:lpstr>
      <vt:lpstr>Payment Method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thanu</cp:lastModifiedBy>
  <dcterms:created xsi:type="dcterms:W3CDTF">2026-08-22T08:52:00Z</dcterms:created>
  <dcterms:modified xsi:type="dcterms:W3CDTF">2026-08-23T14:46:24Z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53574F7F07584EBBB5CA8CFC8CBCEC42_13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